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72.16.1.253\192.168.1.3数据\预算成本部\2026项目\公司项目\GS2600082-SZ02 博彦科技深圳展厅设计施工项目\06-报价\"/>
    </mc:Choice>
  </mc:AlternateContent>
  <xr:revisionPtr revIDLastSave="0" documentId="13_ncr:1_{D13EC7E2-F8C0-4C16-B681-00BFCD363608}" xr6:coauthVersionLast="47" xr6:coauthVersionMax="47" xr10:uidLastSave="{00000000-0000-0000-0000-000000000000}"/>
  <bookViews>
    <workbookView xWindow="945" yWindow="-120" windowWidth="27975" windowHeight="16440" activeTab="1" xr2:uid="{00000000-000D-0000-FFFF-FFFF00000000}"/>
  </bookViews>
  <sheets>
    <sheet name="报价汇总" sheetId="1" r:id="rId1"/>
    <sheet name="工程直接费" sheetId="2" r:id="rId2"/>
  </sheets>
  <definedNames>
    <definedName name="_">#REF!</definedName>
    <definedName name="_xlnm._FilterDatabase" localSheetId="1" hidden="1">工程直接费!$A$7:$M$10</definedName>
    <definedName name="dw">#REF!</definedName>
    <definedName name="HTML" hidden="1">{"'现金流量表（全部投资）'!$B$4:$P$23"}</definedName>
    <definedName name="HTML_CodePage" hidden="1">936</definedName>
    <definedName name="HTML_Control" hidden="1">{"'现金流量表（全部投资）'!$B$4:$P$23"}</definedName>
    <definedName name="HTML_Description" hidden="1">"lin zijian"</definedName>
    <definedName name="HTML_Email" hidden="1">""</definedName>
    <definedName name="HTML_Header" hidden="1">"现金流量表（全部投资）"</definedName>
    <definedName name="HTML_LastUpdate" hidden="1">"96-12-2"</definedName>
    <definedName name="HTML_LineAfter" hidden="1">TRUE</definedName>
    <definedName name="HTML_LineBefore" hidden="1">TRUE</definedName>
    <definedName name="HTML_Name" hidden="1">"linzijia"</definedName>
    <definedName name="HTML_OBDlg2" hidden="1">TRUE</definedName>
    <definedName name="HTML_OBDlg4" hidden="1">TRUE</definedName>
    <definedName name="HTML_OS" hidden="1">0</definedName>
    <definedName name="HTML_PathFile" hidden="1">"C:\lin\bk\MyHTML.htm"</definedName>
    <definedName name="HTML_Title" hidden="1">"PROJECT11"</definedName>
    <definedName name="lap">#REF!</definedName>
    <definedName name="_xlnm.Print_Area" localSheetId="0">报价汇总!$A$1:$D$31</definedName>
    <definedName name="_xlnm.Print_Area" localSheetId="1">工程直接费!$A$1:$M$76</definedName>
    <definedName name="_xlnm.Print_Titles" localSheetId="0">报价汇总!$1:$6</definedName>
    <definedName name="_xlnm.Print_Titles" localSheetId="1">工程直接费!$1:$7</definedName>
    <definedName name="sdhrhrj">#REF!</definedName>
    <definedName name="UC___11.1声道全景声影院系统">#REF!</definedName>
    <definedName name="安泽单导">#REF!</definedName>
    <definedName name="安泽双导">#REF!</definedName>
    <definedName name="编制单位">""</definedName>
    <definedName name="编制人">""</definedName>
    <definedName name="编制日期">"2012年12月02日"</definedName>
    <definedName name="层数高度">""</definedName>
    <definedName name="产地">OFFSET(#REF!,,,COUNTA(#REF!)-1)</definedName>
    <definedName name="产品样品">OFFSET(#REF!,,,COUNTA(#REF!)-1)</definedName>
    <definedName name="丹佛斯单导">#REF!</definedName>
    <definedName name="丹佛斯双导">#REF!</definedName>
    <definedName name="电缆">#REF!</definedName>
    <definedName name="电气主材分类">OFFSET(#REF!,0,0,1,COLUMN(#REF!)-COLUMN(#REF!))</definedName>
    <definedName name="饿">OFFSET(#REF!,,,COUNTA(#REF!)-1)</definedName>
    <definedName name="二">OFFSET(#REF!,,,COUNT(#REF!)-1)</definedName>
    <definedName name="个">OFFSET(#REF!,,,COUNT(#REF!)-1)</definedName>
    <definedName name="给排水.材料分类">#REF!</definedName>
    <definedName name="给排水.材料名称">OFFSET(#REF!,1,MATCH(#REF!,#REF!,0)-1,COUNTA(OFFSET(#REF!,1,MATCH(#REF!,#REF!,0)-1,500,1)),1)</definedName>
    <definedName name="给排水.常用规格">OFFSET(OFFSET(#REF!,1,0),0,0,COUNTA(#REF!)+3,1)</definedName>
    <definedName name="工程类别">""</definedName>
    <definedName name="工程名称">"F型房"</definedName>
    <definedName name="购房人">OFFSET(#REF!,,,COUNT(#REF!)-1)</definedName>
    <definedName name="规格">OFFSET(#REF!,,,COUNT(#REF!)-1)</definedName>
    <definedName name="规格1">OFFSET(#REF!,,,COUNT(#REF!)-1)</definedName>
    <definedName name="规格型号">#N/A</definedName>
    <definedName name="和">OFFSET(#REF!,,,COUNTA(#REF!)-1)</definedName>
    <definedName name="建设单位">""</definedName>
    <definedName name="建筑面积">""</definedName>
    <definedName name="结构形式">""</definedName>
    <definedName name="类别">OFFSET(#REF!,,,COUNTA(#REF!)-1)</definedName>
    <definedName name="米">#REF!</definedName>
    <definedName name="名称">OFFSET(#REF!,,,COUNT(#REF!)-1)</definedName>
    <definedName name="名称2">OFFSET(#REF!,,,COUNT(#REF!)-1)</definedName>
    <definedName name="内别1">OFFSET(#REF!,,,COUNTA(#REF!)-1)</definedName>
    <definedName name="品牌">OFFSET(#REF!,,,COUNT(#REF!)-1)</definedName>
    <definedName name="品牌3">OFFSET(#REF!,,,COUNT(#REF!)-1)</definedName>
    <definedName name="设计单位">""</definedName>
    <definedName name="审核单位">""</definedName>
    <definedName name="资料">OFFSET(#REF!,,,COUNTA(#REF!)-1)</definedName>
    <definedName name="资料1">OFFSET(#REF!,,,COUNTA(#REF!)-1)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8" i="2" l="1"/>
  <c r="L59" i="2"/>
  <c r="A4" i="2"/>
  <c r="A3" i="2"/>
  <c r="A2" i="2"/>
  <c r="A1" i="2"/>
  <c r="L53" i="2" l="1"/>
  <c r="L22" i="2"/>
  <c r="L14" i="2"/>
  <c r="L31" i="2"/>
  <c r="L76" i="2"/>
  <c r="L75" i="2"/>
  <c r="L74" i="2"/>
  <c r="L73" i="2"/>
  <c r="L72" i="2"/>
  <c r="L71" i="2"/>
  <c r="L70" i="2"/>
  <c r="L68" i="2"/>
  <c r="L67" i="2" s="1"/>
  <c r="D19" i="1" s="1"/>
  <c r="L66" i="2"/>
  <c r="L65" i="2" s="1"/>
  <c r="D18" i="1" s="1"/>
  <c r="L64" i="2"/>
  <c r="L63" i="2"/>
  <c r="L62" i="2" s="1"/>
  <c r="L61" i="2"/>
  <c r="L60" i="2" s="1"/>
  <c r="D16" i="1" s="1"/>
  <c r="L57" i="2"/>
  <c r="L56" i="2"/>
  <c r="L55" i="2" s="1"/>
  <c r="L54" i="2"/>
  <c r="L52" i="2"/>
  <c r="L51" i="2"/>
  <c r="L50" i="2"/>
  <c r="L49" i="2"/>
  <c r="L47" i="2"/>
  <c r="L46" i="2"/>
  <c r="L45" i="2"/>
  <c r="L44" i="2"/>
  <c r="L43" i="2"/>
  <c r="L42" i="2"/>
  <c r="L41" i="2"/>
  <c r="L39" i="2"/>
  <c r="L38" i="2"/>
  <c r="L37" i="2"/>
  <c r="L36" i="2"/>
  <c r="L35" i="2"/>
  <c r="L34" i="2"/>
  <c r="L33" i="2"/>
  <c r="L32" i="2" s="1"/>
  <c r="L30" i="2"/>
  <c r="L29" i="2"/>
  <c r="L28" i="2"/>
  <c r="L27" i="2"/>
  <c r="L26" i="2"/>
  <c r="L25" i="2"/>
  <c r="L24" i="2"/>
  <c r="L21" i="2"/>
  <c r="L20" i="2"/>
  <c r="L19" i="2"/>
  <c r="L18" i="2"/>
  <c r="L17" i="2"/>
  <c r="L16" i="2"/>
  <c r="L15" i="2"/>
  <c r="L13" i="2"/>
  <c r="L10" i="2"/>
  <c r="L9" i="2" s="1"/>
  <c r="L23" i="2" l="1"/>
  <c r="L40" i="2"/>
  <c r="L69" i="2"/>
  <c r="L48" i="2"/>
  <c r="D14" i="1" s="1"/>
  <c r="D15" i="1"/>
  <c r="L12" i="2"/>
  <c r="D17" i="1"/>
  <c r="D20" i="1"/>
  <c r="D13" i="1"/>
  <c r="D12" i="1"/>
  <c r="D8" i="1"/>
  <c r="L11" i="2" l="1"/>
  <c r="L8" i="2" s="1"/>
  <c r="D10" i="1"/>
  <c r="D11" i="1"/>
  <c r="D9" i="1" l="1"/>
  <c r="D21" i="1" l="1"/>
  <c r="D22" i="1" s="1"/>
  <c r="D23" i="1" s="1"/>
  <c r="D24" i="1" s="1"/>
</calcChain>
</file>

<file path=xl/sharedStrings.xml><?xml version="1.0" encoding="utf-8"?>
<sst xmlns="http://schemas.openxmlformats.org/spreadsheetml/2006/main" count="554" uniqueCount="277">
  <si>
    <t>Estimation of construction cost for fit-out work</t>
  </si>
  <si>
    <t>Project: 博彦科技深圳展厅设计施工项目</t>
  </si>
  <si>
    <t>Issue date:2026-07-03</t>
  </si>
  <si>
    <t>Project code:</t>
  </si>
  <si>
    <t>I</t>
  </si>
  <si>
    <t>项目汇总</t>
  </si>
  <si>
    <t>TOTAL (RMB)</t>
  </si>
  <si>
    <t>1.00</t>
  </si>
  <si>
    <t>拆除工程</t>
  </si>
  <si>
    <t>2.00</t>
  </si>
  <si>
    <t>装饰工程</t>
  </si>
  <si>
    <t>2.01.00</t>
  </si>
  <si>
    <t xml:space="preserve">  天花工程</t>
  </si>
  <si>
    <t>2.02.00</t>
  </si>
  <si>
    <t xml:space="preserve">  隔墙工程</t>
  </si>
  <si>
    <t>2.03.00</t>
  </si>
  <si>
    <t xml:space="preserve">  墙面工程</t>
  </si>
  <si>
    <t>2.04.00</t>
  </si>
  <si>
    <t xml:space="preserve">  地面工程</t>
  </si>
  <si>
    <t>2.05.00</t>
  </si>
  <si>
    <t xml:space="preserve">  门窗工程</t>
  </si>
  <si>
    <t>2.06.00</t>
  </si>
  <si>
    <t xml:space="preserve">  固定家具</t>
  </si>
  <si>
    <t>3.00</t>
  </si>
  <si>
    <t>强电工程</t>
  </si>
  <si>
    <t>4.00</t>
  </si>
  <si>
    <t>弱电工程</t>
  </si>
  <si>
    <t>5.00</t>
  </si>
  <si>
    <t>空调工程</t>
  </si>
  <si>
    <t>6.00</t>
  </si>
  <si>
    <t>消防工程</t>
  </si>
  <si>
    <t>7.00</t>
  </si>
  <si>
    <t>措施费</t>
  </si>
  <si>
    <t>a</t>
  </si>
  <si>
    <t>直接费合计</t>
  </si>
  <si>
    <t>b</t>
  </si>
  <si>
    <t>施工管理费</t>
  </si>
  <si>
    <t>c</t>
  </si>
  <si>
    <t>税金</t>
  </si>
  <si>
    <t>一</t>
  </si>
  <si>
    <t>装修工程合计  a+b+c</t>
  </si>
  <si>
    <t>报价说明</t>
  </si>
  <si>
    <t>1、报价不包含建委及消防报审报验相关手续及费用；</t>
  </si>
  <si>
    <t>2、报价中仅包含开荒保洁，不含精细保洁，若需要做精细保洁，需据实增加费用；</t>
  </si>
  <si>
    <t>3、报价仅含物业收取管理费，若产生其他收费，需据实增加；</t>
  </si>
  <si>
    <t>4、报价不含空气治理及空气检测；</t>
  </si>
  <si>
    <t>5、报价不含绿植；</t>
  </si>
  <si>
    <t>No.</t>
  </si>
  <si>
    <t>id</t>
  </si>
  <si>
    <t>item_name</t>
  </si>
  <si>
    <t>item_code</t>
  </si>
  <si>
    <t>item_type</t>
  </si>
  <si>
    <t>mat_supply_mode</t>
  </si>
  <si>
    <t>labor_supply_mode</t>
  </si>
  <si>
    <t>Description</t>
  </si>
  <si>
    <t>Unit</t>
  </si>
  <si>
    <t xml:space="preserve">Quantity </t>
  </si>
  <si>
    <t xml:space="preserve">Unit Price </t>
  </si>
  <si>
    <t>Total (RMB)</t>
  </si>
  <si>
    <t>Remarks</t>
  </si>
  <si>
    <t>序号</t>
  </si>
  <si>
    <t>数据ID</t>
  </si>
  <si>
    <t>数据名称</t>
  </si>
  <si>
    <t>物料编号</t>
  </si>
  <si>
    <t>数据类型</t>
  </si>
  <si>
    <t>物料供应</t>
  </si>
  <si>
    <t>劳务供应</t>
  </si>
  <si>
    <t>项目</t>
  </si>
  <si>
    <t>单位</t>
  </si>
  <si>
    <t>数量</t>
  </si>
  <si>
    <t xml:space="preserve">单价 </t>
  </si>
  <si>
    <t>总计 (人民币)</t>
  </si>
  <si>
    <t>备注</t>
  </si>
  <si>
    <t>edbc118a-71fc-438b-aed7-78f70b00aa69</t>
  </si>
  <si>
    <t>1.01</t>
  </si>
  <si>
    <t>616c85d3-b60d-4268-ba19-3058b9d08a30</t>
  </si>
  <si>
    <t>劳务</t>
  </si>
  <si>
    <t>不涉及</t>
  </si>
  <si>
    <t>外包</t>
  </si>
  <si>
    <t>平米</t>
  </si>
  <si>
    <t>c7783252-0cd5-4f6b-a1c3-c243b6b4b761</t>
  </si>
  <si>
    <t>e8305092-6250-41d2-83e6-611ffa104f5c</t>
  </si>
  <si>
    <t>天花工程</t>
  </si>
  <si>
    <t>2.01.01</t>
  </si>
  <si>
    <t>17976e53-f047-46a6-a3c4-571124bc3d11</t>
  </si>
  <si>
    <t>提供及安装双层石膏板天花</t>
  </si>
  <si>
    <t>提供及安装双层平顶石膏板天花</t>
  </si>
  <si>
    <t>2.01.02</t>
  </si>
  <si>
    <t>e4c0c05c-f9f1-4993-9fa0-971dac0daced</t>
  </si>
  <si>
    <t>提供及安装造型石膏板天花</t>
  </si>
  <si>
    <t>2.01.03</t>
  </si>
  <si>
    <t>1797f696-6139-4c13-aef3-e6021f83718e</t>
  </si>
  <si>
    <t>提供及安装白色乳胶漆</t>
  </si>
  <si>
    <t>2.01.04</t>
  </si>
  <si>
    <t>8c7e19c8-8b04-43c9-83ff-4a092a3eb15a</t>
  </si>
  <si>
    <t>提供及安装黑色乳胶漆</t>
  </si>
  <si>
    <t>2.01.05</t>
  </si>
  <si>
    <t>96136983-dbeb-4411-b4c2-af02110b4404</t>
  </si>
  <si>
    <t>提供及安装镜面不锈钢天花</t>
  </si>
  <si>
    <t>物料</t>
  </si>
  <si>
    <t>自购</t>
  </si>
  <si>
    <t>2.01.06</t>
  </si>
  <si>
    <t>f86f32d5-4740-4aee-877d-fe69cedb083c</t>
  </si>
  <si>
    <t>提供及安装阳极氧化铝天花</t>
  </si>
  <si>
    <t>2.01.07</t>
  </si>
  <si>
    <t>f9e5fc8e-9e63-4b9a-9102-8936e15fb85c</t>
  </si>
  <si>
    <t>提供及安装软膜天花基层</t>
  </si>
  <si>
    <t>2.01.08</t>
  </si>
  <si>
    <t>c3896850-cd01-4cab-ad8d-ed6a15a3ee3d</t>
  </si>
  <si>
    <t>提供及安装直行灯槽</t>
  </si>
  <si>
    <t>米</t>
  </si>
  <si>
    <t>2.01.09</t>
  </si>
  <si>
    <t>d474bd52-7a04-4849-9224-13aa1ce40a1f</t>
  </si>
  <si>
    <t>提供及安装弧形灯槽</t>
  </si>
  <si>
    <t>629436a4-8387-4828-b513-47dc6c293fbb</t>
  </si>
  <si>
    <t>隔墙工程</t>
  </si>
  <si>
    <t>2.02.02</t>
  </si>
  <si>
    <t>c2a96c72-37e2-4225-bd22-46675698a68f</t>
  </si>
  <si>
    <t>200厚75轻钢龙骨双面双层石膏板隔墙</t>
  </si>
  <si>
    <t>2.02.03</t>
  </si>
  <si>
    <t>f6d1d4c9-5433-468e-89b9-0c10abfd2262</t>
  </si>
  <si>
    <t>130厚75轻钢龙骨双面双层石膏板隔墙</t>
  </si>
  <si>
    <t>2.02.04</t>
  </si>
  <si>
    <t>3ae4277b-8239-4dce-8044-3529407805a4</t>
  </si>
  <si>
    <t>500厚双排龙骨双面双层石膏板隔墙</t>
  </si>
  <si>
    <t>2.02.05</t>
  </si>
  <si>
    <t>eba24b76-cdbf-4f9b-96cf-943d9cfad862</t>
  </si>
  <si>
    <t>120厚75龙骨双面双层石膏板吊墙</t>
  </si>
  <si>
    <t>2.02.06</t>
  </si>
  <si>
    <t>055aaba8-695f-4cb4-aae4-19e32aeaaa9f</t>
  </si>
  <si>
    <t>双面双层弧形石膏板隔墙</t>
  </si>
  <si>
    <t>2.02.07</t>
  </si>
  <si>
    <t>a4bfa342-bf02-4757-8f42-a22bb8162a94</t>
  </si>
  <si>
    <t>系统玻璃隔断</t>
  </si>
  <si>
    <t>自施工</t>
  </si>
  <si>
    <t>2.02.08</t>
  </si>
  <si>
    <t>1a79ae79-4f2d-4a66-9cc8-76ffd019514a</t>
  </si>
  <si>
    <t>设备带</t>
  </si>
  <si>
    <t>个</t>
  </si>
  <si>
    <t>790b4121-3a22-4b11-8923-ab3d135ca053</t>
  </si>
  <si>
    <t>墙面工程</t>
  </si>
  <si>
    <t>2.03.01</t>
  </si>
  <si>
    <t>cc3b4792-6c9b-405a-bbe6-fe5e3bdb4c1d</t>
  </si>
  <si>
    <t>提供及安装木饰面</t>
  </si>
  <si>
    <t>2.03.02</t>
  </si>
  <si>
    <t>5faec624-b31e-4fb7-8b81-7f39c64768fd</t>
  </si>
  <si>
    <t>提供及安装阳极氧化铝板</t>
  </si>
  <si>
    <t>2.03.03</t>
  </si>
  <si>
    <t>40a53504-dd79-4623-b832-335c24148ce0</t>
  </si>
  <si>
    <t>提供及安装艺术漆</t>
  </si>
  <si>
    <t>2.03.04</t>
  </si>
  <si>
    <t>8e35d78d-b8dd-423c-b01d-86de35490d4b</t>
  </si>
  <si>
    <t>提供及安装直型吸音板</t>
  </si>
  <si>
    <t>2.03.05</t>
  </si>
  <si>
    <t>df799662-0777-4de2-a04e-970ea8e0ace4</t>
  </si>
  <si>
    <t>提供及安装弧形吸音板</t>
  </si>
  <si>
    <t>2.03.06</t>
  </si>
  <si>
    <t>374cfa2e-372e-4eb4-8aca-5e0f3559ce1f</t>
  </si>
  <si>
    <t>提供及安装墙面乳胶漆</t>
  </si>
  <si>
    <t>2.03.07</t>
  </si>
  <si>
    <t>2c7f1470-9788-4df1-bc92-bd711484d857</t>
  </si>
  <si>
    <t>提供及安装金属踢脚线 50mm高</t>
  </si>
  <si>
    <t>be240c6a-aca5-45c0-94c4-f8c6e3f47be1</t>
  </si>
  <si>
    <t>地面工程</t>
  </si>
  <si>
    <t>2.04.01</t>
  </si>
  <si>
    <t>1e6bdde5-c82f-4abf-81e1-6774cd87d3be</t>
  </si>
  <si>
    <t>提供及安装水磨石</t>
  </si>
  <si>
    <t>2.04.02</t>
  </si>
  <si>
    <t>2d352a06-9ace-465e-9515-558941dd4cdd</t>
  </si>
  <si>
    <t>提供及安装地面垫层</t>
  </si>
  <si>
    <t>2.04.03</t>
  </si>
  <si>
    <t>07eafa62-bf06-4ea4-b025-90c5afb5e0a7</t>
  </si>
  <si>
    <t>提供及安装地毯</t>
  </si>
  <si>
    <t>2.04.04</t>
  </si>
  <si>
    <t>c1d9df52-4bc7-4a7d-8a79-9f93f0b8feb8</t>
  </si>
  <si>
    <t>提供及安装防静电高架地板</t>
  </si>
  <si>
    <t>2.04.05</t>
  </si>
  <si>
    <t>dda54357-d45f-4047-8978-55da8457b056</t>
  </si>
  <si>
    <t>提供及安装地面金属分割条</t>
  </si>
  <si>
    <t>2.04.06</t>
  </si>
  <si>
    <t>7eaf12d6-9202-4460-be3a-5b2acece4218</t>
  </si>
  <si>
    <t>提供及安装地面直型灯槽 20mm宽</t>
  </si>
  <si>
    <t>2.04.07</t>
  </si>
  <si>
    <t>f1f9fdf0-8aca-4968-a6c0-7f354a3639a4</t>
  </si>
  <si>
    <t>提供及安装地面弧型灯槽 20mm宽</t>
  </si>
  <si>
    <t>81aef55c-9b2d-42b8-bfb1-528be6235399</t>
  </si>
  <si>
    <t>门窗工程</t>
  </si>
  <si>
    <t>2.05.01</t>
  </si>
  <si>
    <t>64d94e64-cb71-4fd1-be7a-ad8a28b64f28</t>
  </si>
  <si>
    <t>利旧安装入户玻璃门</t>
  </si>
  <si>
    <t>樘</t>
  </si>
  <si>
    <t>2.05.02</t>
  </si>
  <si>
    <t>4dbeb7d4-3875-4b90-9026-309dd4104b6a</t>
  </si>
  <si>
    <t>提供及安装展厅入口门 2000*2600mm</t>
  </si>
  <si>
    <t>2.05.03</t>
  </si>
  <si>
    <t>5c8f5d31-4a2b-4a02-a7c3-c198151dae77</t>
  </si>
  <si>
    <t>提供及安装展厅入口金属门套</t>
  </si>
  <si>
    <t>提供及安装展厅入口金属门套 2000*2600mm</t>
  </si>
  <si>
    <t>2.05.04</t>
  </si>
  <si>
    <t>a3a4820f-17b7-440f-a6da-435dc2c760fb</t>
  </si>
  <si>
    <t>提供及安装系统玻璃隔断单开门 1000*3000mm</t>
  </si>
  <si>
    <t>2.05.05</t>
  </si>
  <si>
    <t>7b370157-6496-4a4b-a963-0dab2787281a</t>
  </si>
  <si>
    <t>提供及安装甲级防火门 1000*2200mm</t>
  </si>
  <si>
    <t>3d80760f-9c48-49fd-a7be-714703b60fe2</t>
  </si>
  <si>
    <t>固定家具</t>
  </si>
  <si>
    <t>2.06.02</t>
  </si>
  <si>
    <t>98df60d0-40b2-460c-b2aa-cbd44f67954d</t>
  </si>
  <si>
    <t>提供及安装卡座金属套</t>
  </si>
  <si>
    <t>2.06.03</t>
  </si>
  <si>
    <t>5432dea6-9fb6-498c-bf24-3c698bdc01c7</t>
  </si>
  <si>
    <t>提供及安装前台</t>
  </si>
  <si>
    <t>提供及安装前台 800mm宽</t>
  </si>
  <si>
    <t>2.06.04</t>
  </si>
  <si>
    <t>44b324a8-dfa4-4e6d-9af5-80760b374a48</t>
  </si>
  <si>
    <t>提供及安装吊柜</t>
  </si>
  <si>
    <t>提供及安装吊柜 400mm宽</t>
  </si>
  <si>
    <t>e2c81f45-3c53-4f74-bcce-4ef49ed43fed</t>
  </si>
  <si>
    <t>提供及安装地柜</t>
  </si>
  <si>
    <t>提供及安装地柜 600mm宽</t>
  </si>
  <si>
    <t>163b1196-5edb-4dd3-bcd8-2932f84df4f8</t>
  </si>
  <si>
    <t>3.01</t>
  </si>
  <si>
    <t>0d9cff89-16a8-48b7-974d-9361390f63e0</t>
  </si>
  <si>
    <t>b59c6757-bd1c-495a-bec3-dc3164b5eb71</t>
  </si>
  <si>
    <t>4.01</t>
  </si>
  <si>
    <t>9c6f0243-3e94-457b-ac2b-c4cb69d87407</t>
  </si>
  <si>
    <t>综合布线工程</t>
  </si>
  <si>
    <t>4.02</t>
  </si>
  <si>
    <t>d3f780b5-a25b-4b20-b7df-b16352d3dbb0</t>
  </si>
  <si>
    <t>弱电设备</t>
  </si>
  <si>
    <t>873fae03-ee97-406c-88b3-34ac796ecd5a</t>
  </si>
  <si>
    <t>5.01</t>
  </si>
  <si>
    <t>4841e5c0-c899-497e-87a3-5c72cb04eed2</t>
  </si>
  <si>
    <t>7a7e6185-e8e9-4e62-be47-f4cb17428bbe</t>
  </si>
  <si>
    <t>6.01</t>
  </si>
  <si>
    <t>e6c961c4-e7f8-4e67-9ab8-954809b97944</t>
  </si>
  <si>
    <t>a59e1da8-187a-45a4-9446-b6cb1b6f37ae</t>
  </si>
  <si>
    <t>7.01</t>
  </si>
  <si>
    <t>e1c890a1-8189-4bec-beb0-ebe5683abd27</t>
  </si>
  <si>
    <t>工程一切险及第三者责任险</t>
  </si>
  <si>
    <t>项</t>
  </si>
  <si>
    <t>7.02</t>
  </si>
  <si>
    <t>137ffa23-8797-4a26-a4b8-f0c9e5f391dc</t>
  </si>
  <si>
    <t>现场成品保护</t>
  </si>
  <si>
    <t>7.03</t>
  </si>
  <si>
    <t>8cf270c1-2d41-41cc-bdeb-137febb0a316</t>
  </si>
  <si>
    <t>现场施工放线</t>
  </si>
  <si>
    <t>7.04</t>
  </si>
  <si>
    <t>b4eccc26-0aef-4615-b695-a6b7a5b56480</t>
  </si>
  <si>
    <t>临时电源、照明、水的设施费 （水电费不包括）</t>
  </si>
  <si>
    <t>7.05</t>
  </si>
  <si>
    <t>7b9d40ec-f149-4ed8-974c-850620f855a8</t>
  </si>
  <si>
    <t>垃圾清理及外运</t>
  </si>
  <si>
    <t>7.06</t>
  </si>
  <si>
    <t>1f2a54a9-a180-4bb4-8956-24dd6ec814b3</t>
  </si>
  <si>
    <t>开荒保洁</t>
  </si>
  <si>
    <t>7.07</t>
  </si>
  <si>
    <t>95c08f60-196b-4d94-84c5-f92ca4af3ab9</t>
  </si>
  <si>
    <t>安全文明施工费</t>
  </si>
  <si>
    <t>隔墙加固</t>
    <phoneticPr fontId="30" type="noConversion"/>
  </si>
  <si>
    <t>2.01.10</t>
  </si>
  <si>
    <t>天花方钢加固 移动屏位置</t>
    <phoneticPr fontId="30" type="noConversion"/>
  </si>
  <si>
    <t>吨</t>
    <phoneticPr fontId="30" type="noConversion"/>
  </si>
  <si>
    <t>2.02.01</t>
    <phoneticPr fontId="30" type="noConversion"/>
  </si>
  <si>
    <t>双层系统玻璃隔断 科沃</t>
    <phoneticPr fontId="30" type="noConversion"/>
  </si>
  <si>
    <t>不含框</t>
    <phoneticPr fontId="30" type="noConversion"/>
  </si>
  <si>
    <t>2.06.01</t>
    <phoneticPr fontId="30" type="noConversion"/>
  </si>
  <si>
    <t>提供及安装墙面卡座 含金属套</t>
    <phoneticPr fontId="30" type="noConversion"/>
  </si>
  <si>
    <t>2.05.06</t>
  </si>
  <si>
    <t>提供及安装单开木门 1000*3000mm</t>
    <phoneticPr fontId="30" type="noConversion"/>
  </si>
  <si>
    <t>提供及安装地面垫层 50mm厚</t>
    <phoneticPr fontId="30" type="noConversion"/>
  </si>
  <si>
    <t>国产</t>
    <phoneticPr fontId="30" type="noConversion"/>
  </si>
  <si>
    <t>提供及安装阳极氧化铝板</t>
    <phoneticPr fontId="30" type="noConversion"/>
  </si>
  <si>
    <t>空调改造工程</t>
    <phoneticPr fontId="30" type="noConversion"/>
  </si>
  <si>
    <t>消防改造工程</t>
    <phoneticPr fontId="30" type="noConversion"/>
  </si>
  <si>
    <t>提供及安装圆形不锈钢天花</t>
    <phoneticPr fontId="30" type="noConversion"/>
  </si>
  <si>
    <r>
      <t>Project address:</t>
    </r>
    <r>
      <rPr>
        <b/>
        <sz val="12"/>
        <rFont val="宋体"/>
        <family val="2"/>
        <charset val="134"/>
      </rPr>
      <t>深圳</t>
    </r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</si>
</sst>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0_);\(0.00\)"/>
    <numFmt numFmtId="177" formatCode="0.00_);[Red]\(0.00\)"/>
    <numFmt numFmtId="178" formatCode="_-* #,##0.00_-;\-* #,##0.00_-;_-* &quot;-&quot;??_-;_-@_-"/>
    <numFmt numFmtId="179" formatCode="0.00_ "/>
    <numFmt numFmtId="181" formatCode="_(* #,##0.00_);_(* \(#,##0.00\);_(* &quot;-&quot;_);_(@_)"/>
  </numFmts>
  <fonts count="32">
    <font>
      <sz val="12"/>
      <name val="宋体"/>
      <charset val="134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b/>
      <sz val="12"/>
      <name val="Arial"/>
      <family val="2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9"/>
      <name val="Arial"/>
      <family val="2"/>
    </font>
    <font>
      <sz val="10"/>
      <name val="Times New Roman"/>
      <family val="1"/>
    </font>
    <font>
      <sz val="10"/>
      <name val="Geneva"/>
      <family val="1"/>
    </font>
    <font>
      <b/>
      <sz val="18"/>
      <name val="Arial"/>
      <family val="2"/>
    </font>
    <font>
      <sz val="12"/>
      <name val="·s²Ó©úÅé"/>
      <charset val="134"/>
    </font>
    <font>
      <sz val="12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b/>
      <u/>
      <sz val="14"/>
      <name val="Times New Roman"/>
      <family val="1"/>
    </font>
    <font>
      <b/>
      <sz val="12"/>
      <name val="Times New Roman"/>
      <family val="1"/>
    </font>
    <font>
      <sz val="10"/>
      <name val="Helv"/>
      <family val="2"/>
    </font>
    <font>
      <sz val="11"/>
      <color indexed="8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65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9">
    <xf numFmtId="0" fontId="0" fillId="0" borderId="0"/>
    <xf numFmtId="0" fontId="13" fillId="0" borderId="0">
      <alignment vertical="top" wrapText="1"/>
    </xf>
    <xf numFmtId="0" fontId="14" fillId="0" borderId="25">
      <alignment horizontal="center" vertical="center"/>
    </xf>
    <xf numFmtId="0" fontId="15" fillId="0" borderId="0"/>
    <xf numFmtId="0" fontId="16" fillId="0" borderId="0">
      <alignment vertical="center"/>
    </xf>
    <xf numFmtId="49" fontId="13" fillId="0" borderId="0">
      <alignment horizontal="center" vertical="top"/>
    </xf>
    <xf numFmtId="0" fontId="29" fillId="0" borderId="0"/>
    <xf numFmtId="0" fontId="3" fillId="0" borderId="0"/>
    <xf numFmtId="0" fontId="17" fillId="0" borderId="0">
      <alignment vertical="top"/>
    </xf>
    <xf numFmtId="4" fontId="14" fillId="0" borderId="25">
      <alignment horizontal="right" vertical="center"/>
    </xf>
    <xf numFmtId="178" fontId="17" fillId="0" borderId="0">
      <alignment vertical="top"/>
    </xf>
    <xf numFmtId="0" fontId="14" fillId="0" borderId="25">
      <alignment horizontal="center" vertical="center"/>
    </xf>
    <xf numFmtId="0" fontId="18" fillId="0" borderId="0"/>
    <xf numFmtId="181" fontId="19" fillId="0" borderId="0">
      <alignment horizontal="left"/>
    </xf>
    <xf numFmtId="0" fontId="18" fillId="0" borderId="26">
      <alignment horizontal="centerContinuous" vertical="center"/>
    </xf>
    <xf numFmtId="0" fontId="14" fillId="0" borderId="0">
      <alignment horizontal="left" vertical="center"/>
    </xf>
    <xf numFmtId="49" fontId="20" fillId="0" borderId="27">
      <alignment horizontal="center" vertical="center"/>
    </xf>
    <xf numFmtId="0" fontId="3" fillId="0" borderId="0"/>
    <xf numFmtId="49" fontId="20" fillId="0" borderId="27">
      <alignment horizontal="center" vertical="center"/>
    </xf>
    <xf numFmtId="49" fontId="20" fillId="0" borderId="27">
      <alignment horizontal="center" vertical="center"/>
    </xf>
    <xf numFmtId="0" fontId="13" fillId="0" borderId="0">
      <alignment horizontal="center" vertical="top"/>
    </xf>
    <xf numFmtId="0" fontId="21" fillId="0" borderId="28">
      <alignment horizontal="center"/>
    </xf>
    <xf numFmtId="0" fontId="22" fillId="0" borderId="29">
      <alignment horizontal="center" vertical="top"/>
    </xf>
    <xf numFmtId="0" fontId="14" fillId="0" borderId="29">
      <alignment horizontal="left" vertical="center" wrapText="1"/>
    </xf>
    <xf numFmtId="0" fontId="14" fillId="0" borderId="30">
      <alignment horizontal="centerContinuous" vertical="center" wrapText="1"/>
    </xf>
    <xf numFmtId="0" fontId="14" fillId="0" borderId="25">
      <alignment horizontal="center" vertical="center"/>
    </xf>
    <xf numFmtId="0" fontId="23" fillId="0" borderId="25">
      <alignment horizontal="center" vertical="center"/>
    </xf>
    <xf numFmtId="0" fontId="14" fillId="0" borderId="25">
      <alignment horizontal="center" vertical="center"/>
    </xf>
    <xf numFmtId="49" fontId="14" fillId="0" borderId="25">
      <alignment horizontal="center" vertical="center"/>
    </xf>
    <xf numFmtId="0" fontId="24" fillId="0" borderId="0">
      <alignment horizontal="centerContinuous" vertical="center"/>
    </xf>
    <xf numFmtId="0" fontId="14" fillId="0" borderId="25">
      <alignment horizontal="left" vertical="center" wrapText="1"/>
    </xf>
    <xf numFmtId="0" fontId="23" fillId="0" borderId="31">
      <alignment horizontal="left" vertical="center"/>
    </xf>
    <xf numFmtId="0" fontId="14" fillId="0" borderId="25">
      <alignment horizontal="left" vertical="center"/>
    </xf>
    <xf numFmtId="0" fontId="15" fillId="0" borderId="0"/>
    <xf numFmtId="0" fontId="21" fillId="0" borderId="25">
      <alignment horizontal="left" vertical="center"/>
    </xf>
    <xf numFmtId="0" fontId="3" fillId="0" borderId="0"/>
    <xf numFmtId="0" fontId="14" fillId="0" borderId="25">
      <alignment horizontal="center" vertical="center"/>
    </xf>
    <xf numFmtId="0" fontId="14" fillId="0" borderId="25">
      <alignment horizontal="center" vertical="center"/>
    </xf>
    <xf numFmtId="4" fontId="14" fillId="0" borderId="25">
      <alignment horizontal="right" vertical="center"/>
    </xf>
    <xf numFmtId="4" fontId="14" fillId="0" borderId="25">
      <alignment horizontal="right" vertical="center"/>
    </xf>
    <xf numFmtId="4" fontId="14" fillId="0" borderId="25">
      <alignment horizontal="right" vertical="center"/>
    </xf>
    <xf numFmtId="4" fontId="14" fillId="0" borderId="25">
      <alignment horizontal="right" vertical="center"/>
    </xf>
    <xf numFmtId="0" fontId="25" fillId="0" borderId="0">
      <alignment horizontal="left" vertical="center"/>
    </xf>
    <xf numFmtId="0" fontId="21" fillId="0" borderId="25">
      <alignment horizontal="left" vertical="center"/>
    </xf>
    <xf numFmtId="0" fontId="23" fillId="0" borderId="25">
      <alignment horizontal="center" vertical="center"/>
    </xf>
    <xf numFmtId="0" fontId="23" fillId="0" borderId="25">
      <alignment horizontal="center" vertical="center"/>
    </xf>
    <xf numFmtId="0" fontId="23" fillId="0" borderId="25">
      <alignment horizontal="center" vertical="center"/>
    </xf>
    <xf numFmtId="0" fontId="23" fillId="0" borderId="25">
      <alignment horizontal="center" vertical="center"/>
    </xf>
    <xf numFmtId="43" fontId="3" fillId="0" borderId="0"/>
    <xf numFmtId="0" fontId="3" fillId="0" borderId="0"/>
    <xf numFmtId="0" fontId="3" fillId="0" borderId="0"/>
    <xf numFmtId="0" fontId="3" fillId="0" borderId="0"/>
    <xf numFmtId="179" fontId="15" fillId="0" borderId="0"/>
    <xf numFmtId="0" fontId="23" fillId="0" borderId="0">
      <alignment horizontal="right" vertical="center"/>
    </xf>
    <xf numFmtId="4" fontId="23" fillId="0" borderId="25">
      <alignment horizontal="right" vertical="center"/>
    </xf>
    <xf numFmtId="4" fontId="14" fillId="0" borderId="25">
      <alignment horizontal="right" vertical="center"/>
    </xf>
    <xf numFmtId="0" fontId="25" fillId="0" borderId="0">
      <alignment horizontal="centerContinuous" vertical="center"/>
    </xf>
    <xf numFmtId="0" fontId="26" fillId="0" borderId="0"/>
    <xf numFmtId="0" fontId="3" fillId="0" borderId="0"/>
    <xf numFmtId="0" fontId="15" fillId="0" borderId="0"/>
    <xf numFmtId="4" fontId="23" fillId="0" borderId="25">
      <alignment horizontal="right" vertical="center"/>
    </xf>
    <xf numFmtId="4" fontId="23" fillId="0" borderId="25">
      <alignment horizontal="right" vertical="center"/>
    </xf>
    <xf numFmtId="0" fontId="29" fillId="0" borderId="0"/>
    <xf numFmtId="0" fontId="27" fillId="0" borderId="0">
      <alignment vertical="center"/>
    </xf>
    <xf numFmtId="0" fontId="28" fillId="0" borderId="0"/>
    <xf numFmtId="0" fontId="29" fillId="0" borderId="0"/>
    <xf numFmtId="0" fontId="8" fillId="0" borderId="0">
      <alignment vertical="center"/>
    </xf>
    <xf numFmtId="0" fontId="28" fillId="0" borderId="0"/>
    <xf numFmtId="0" fontId="29" fillId="0" borderId="0"/>
  </cellStyleXfs>
  <cellXfs count="143">
    <xf numFmtId="0" fontId="0" fillId="0" borderId="0" xfId="0"/>
    <xf numFmtId="0" fontId="0" fillId="0" borderId="0" xfId="17" applyFont="1"/>
    <xf numFmtId="0" fontId="1" fillId="0" borderId="0" xfId="17" applyFont="1" applyAlignment="1">
      <alignment horizontal="center" vertical="center"/>
    </xf>
    <xf numFmtId="0" fontId="1" fillId="0" borderId="0" xfId="17" applyFont="1"/>
    <xf numFmtId="0" fontId="3" fillId="0" borderId="0" xfId="8" applyFont="1" applyAlignment="1">
      <alignment horizontal="center" vertical="center"/>
    </xf>
    <xf numFmtId="0" fontId="3" fillId="0" borderId="0" xfId="35" applyAlignment="1">
      <alignment horizontal="center" vertical="center"/>
    </xf>
    <xf numFmtId="0" fontId="4" fillId="0" borderId="0" xfId="35" applyFont="1" applyAlignment="1">
      <alignment horizontal="center" vertical="center"/>
    </xf>
    <xf numFmtId="0" fontId="3" fillId="0" borderId="0" xfId="17" applyAlignment="1">
      <alignment horizontal="center" vertical="center" wrapText="1"/>
    </xf>
    <xf numFmtId="176" fontId="3" fillId="0" borderId="0" xfId="17" applyNumberFormat="1" applyAlignment="1">
      <alignment horizontal="center" vertical="top"/>
    </xf>
    <xf numFmtId="0" fontId="3" fillId="0" borderId="0" xfId="17" applyAlignment="1">
      <alignment horizontal="center" vertical="top"/>
    </xf>
    <xf numFmtId="177" fontId="3" fillId="0" borderId="0" xfId="17" applyNumberFormat="1" applyAlignment="1">
      <alignment horizontal="center" vertical="center"/>
    </xf>
    <xf numFmtId="40" fontId="3" fillId="0" borderId="0" xfId="17" applyNumberFormat="1" applyAlignment="1">
      <alignment horizontal="center" vertical="top"/>
    </xf>
    <xf numFmtId="40" fontId="3" fillId="0" borderId="0" xfId="17" applyNumberFormat="1" applyAlignment="1">
      <alignment horizontal="right" vertical="center"/>
    </xf>
    <xf numFmtId="40" fontId="3" fillId="0" borderId="0" xfId="17" applyNumberFormat="1" applyAlignment="1">
      <alignment horizontal="center" vertical="center" wrapText="1"/>
    </xf>
    <xf numFmtId="0" fontId="3" fillId="0" borderId="0" xfId="17" applyAlignment="1">
      <alignment horizontal="center" vertical="center"/>
    </xf>
    <xf numFmtId="0" fontId="0" fillId="0" borderId="17" xfId="17" applyFont="1" applyBorder="1" applyAlignment="1">
      <alignment horizontal="center"/>
    </xf>
    <xf numFmtId="0" fontId="0" fillId="0" borderId="17" xfId="17" applyFont="1" applyBorder="1" applyAlignment="1">
      <alignment horizontal="right" vertical="center"/>
    </xf>
    <xf numFmtId="0" fontId="0" fillId="0" borderId="18" xfId="17" applyFont="1" applyBorder="1" applyAlignment="1">
      <alignment horizontal="center" vertical="center" wrapText="1"/>
    </xf>
    <xf numFmtId="0" fontId="0" fillId="0" borderId="11" xfId="17" applyFont="1" applyBorder="1" applyAlignment="1">
      <alignment horizontal="center" vertical="center" wrapText="1"/>
    </xf>
    <xf numFmtId="176" fontId="1" fillId="0" borderId="2" xfId="19" applyNumberFormat="1" applyFont="1" applyBorder="1" applyProtection="1">
      <alignment horizontal="center" vertical="center"/>
      <protection locked="0"/>
    </xf>
    <xf numFmtId="0" fontId="1" fillId="0" borderId="3" xfId="19" applyNumberFormat="1" applyFont="1" applyBorder="1" applyAlignment="1" applyProtection="1">
      <alignment horizontal="center" vertical="center" wrapText="1"/>
      <protection locked="0"/>
    </xf>
    <xf numFmtId="0" fontId="1" fillId="0" borderId="4" xfId="19" applyNumberFormat="1" applyFont="1" applyBorder="1" applyAlignment="1" applyProtection="1">
      <alignment horizontal="center" vertical="center" wrapText="1"/>
      <protection locked="0"/>
    </xf>
    <xf numFmtId="0" fontId="1" fillId="0" borderId="4" xfId="19" applyNumberFormat="1" applyFont="1" applyBorder="1" applyProtection="1">
      <alignment horizontal="center" vertical="center"/>
      <protection locked="0"/>
    </xf>
    <xf numFmtId="40" fontId="1" fillId="0" borderId="4" xfId="19" applyNumberFormat="1" applyFont="1" applyBorder="1" applyProtection="1">
      <alignment horizontal="center" vertical="center"/>
      <protection locked="0"/>
    </xf>
    <xf numFmtId="40" fontId="1" fillId="0" borderId="3" xfId="19" applyNumberFormat="1" applyFont="1" applyBorder="1" applyAlignment="1" applyProtection="1">
      <alignment horizontal="right" vertical="center"/>
      <protection locked="0"/>
    </xf>
    <xf numFmtId="40" fontId="1" fillId="0" borderId="5" xfId="19" applyNumberFormat="1" applyFont="1" applyBorder="1" applyAlignment="1" applyProtection="1">
      <alignment horizontal="center" vertical="center" wrapText="1"/>
      <protection locked="0"/>
    </xf>
    <xf numFmtId="176" fontId="6" fillId="0" borderId="6" xfId="19" applyNumberFormat="1" applyFont="1" applyBorder="1" applyProtection="1">
      <alignment horizontal="center" vertical="center"/>
      <protection locked="0"/>
    </xf>
    <xf numFmtId="0" fontId="6" fillId="0" borderId="7" xfId="19" applyNumberFormat="1" applyFont="1" applyBorder="1" applyAlignment="1" applyProtection="1">
      <alignment horizontal="center" vertical="center" wrapText="1"/>
      <protection locked="0"/>
    </xf>
    <xf numFmtId="0" fontId="6" fillId="0" borderId="8" xfId="19" applyNumberFormat="1" applyFont="1" applyBorder="1" applyAlignment="1" applyProtection="1">
      <alignment horizontal="center" vertical="center" wrapText="1"/>
      <protection locked="0"/>
    </xf>
    <xf numFmtId="0" fontId="6" fillId="0" borderId="9" xfId="19" applyNumberFormat="1" applyFont="1" applyBorder="1" applyProtection="1">
      <alignment horizontal="center" vertical="center"/>
      <protection locked="0"/>
    </xf>
    <xf numFmtId="40" fontId="6" fillId="0" borderId="8" xfId="19" applyNumberFormat="1" applyFont="1" applyBorder="1" applyProtection="1">
      <alignment horizontal="center" vertical="center"/>
      <protection locked="0"/>
    </xf>
    <xf numFmtId="40" fontId="6" fillId="0" borderId="9" xfId="19" applyNumberFormat="1" applyFont="1" applyBorder="1" applyAlignment="1" applyProtection="1">
      <alignment horizontal="right" vertical="center"/>
      <protection locked="0"/>
    </xf>
    <xf numFmtId="40" fontId="6" fillId="0" borderId="19" xfId="19" applyNumberFormat="1" applyFont="1" applyBorder="1" applyAlignment="1" applyProtection="1">
      <alignment horizontal="center" vertical="center" wrapText="1"/>
      <protection locked="0"/>
    </xf>
    <xf numFmtId="176" fontId="2" fillId="0" borderId="20" xfId="5" applyNumberFormat="1" applyFont="1" applyBorder="1" applyAlignment="1">
      <alignment horizontal="center" vertical="center"/>
    </xf>
    <xf numFmtId="0" fontId="7" fillId="0" borderId="21" xfId="17" applyFont="1" applyBorder="1" applyAlignment="1">
      <alignment horizontal="left" vertical="center" wrapText="1"/>
    </xf>
    <xf numFmtId="177" fontId="2" fillId="0" borderId="21" xfId="17" applyNumberFormat="1" applyFont="1" applyBorder="1" applyAlignment="1">
      <alignment horizontal="center" vertical="center"/>
    </xf>
    <xf numFmtId="0" fontId="1" fillId="0" borderId="21" xfId="17" applyFont="1" applyBorder="1" applyAlignment="1">
      <alignment horizontal="center" vertical="center"/>
    </xf>
    <xf numFmtId="40" fontId="5" fillId="0" borderId="21" xfId="8" applyNumberFormat="1" applyFont="1" applyBorder="1" applyAlignment="1">
      <alignment horizontal="right" vertical="center"/>
    </xf>
    <xf numFmtId="40" fontId="2" fillId="0" borderId="22" xfId="8" applyNumberFormat="1" applyFont="1" applyBorder="1" applyAlignment="1">
      <alignment horizontal="center" vertical="center" wrapText="1"/>
    </xf>
    <xf numFmtId="43" fontId="1" fillId="0" borderId="21" xfId="49" applyNumberFormat="1" applyFont="1" applyBorder="1" applyAlignment="1">
      <alignment horizontal="center" vertical="center" wrapText="1"/>
    </xf>
    <xf numFmtId="40" fontId="2" fillId="0" borderId="21" xfId="17" applyNumberFormat="1" applyFont="1" applyBorder="1" applyAlignment="1">
      <alignment horizontal="center" vertical="center"/>
    </xf>
    <xf numFmtId="40" fontId="2" fillId="0" borderId="21" xfId="17" applyNumberFormat="1" applyFont="1" applyBorder="1" applyAlignment="1">
      <alignment horizontal="right" vertical="center"/>
    </xf>
    <xf numFmtId="40" fontId="2" fillId="0" borderId="22" xfId="17" applyNumberFormat="1" applyFont="1" applyBorder="1" applyAlignment="1">
      <alignment horizontal="center" vertical="center" wrapText="1"/>
    </xf>
    <xf numFmtId="176" fontId="3" fillId="0" borderId="0" xfId="5" applyNumberFormat="1" applyFont="1">
      <alignment horizontal="center" vertical="top"/>
    </xf>
    <xf numFmtId="49" fontId="3" fillId="0" borderId="0" xfId="5" applyFont="1">
      <alignment horizontal="center" vertical="top"/>
    </xf>
    <xf numFmtId="43" fontId="3" fillId="0" borderId="0" xfId="49" applyNumberFormat="1" applyAlignment="1">
      <alignment horizontal="center" vertical="center" wrapText="1"/>
    </xf>
    <xf numFmtId="177" fontId="3" fillId="0" borderId="0" xfId="49" applyNumberFormat="1" applyAlignment="1">
      <alignment horizontal="center" vertical="center"/>
    </xf>
    <xf numFmtId="40" fontId="3" fillId="0" borderId="0" xfId="49" applyNumberFormat="1" applyAlignment="1">
      <alignment horizontal="center" vertical="top"/>
    </xf>
    <xf numFmtId="40" fontId="3" fillId="0" borderId="0" xfId="49" applyNumberFormat="1" applyAlignment="1">
      <alignment horizontal="right" vertical="center"/>
    </xf>
    <xf numFmtId="40" fontId="3" fillId="0" borderId="0" xfId="49" applyNumberFormat="1" applyAlignment="1">
      <alignment horizontal="center" vertical="center" wrapText="1"/>
    </xf>
    <xf numFmtId="178" fontId="3" fillId="0" borderId="0" xfId="10" applyFont="1" applyAlignment="1">
      <alignment horizontal="center" vertical="center" wrapText="1"/>
    </xf>
    <xf numFmtId="177" fontId="3" fillId="0" borderId="0" xfId="10" applyNumberFormat="1" applyFont="1" applyAlignment="1">
      <alignment horizontal="center" vertical="center"/>
    </xf>
    <xf numFmtId="40" fontId="3" fillId="0" borderId="0" xfId="10" applyNumberFormat="1" applyFont="1" applyAlignment="1">
      <alignment horizontal="center" vertical="top"/>
    </xf>
    <xf numFmtId="40" fontId="3" fillId="0" borderId="0" xfId="10" applyNumberFormat="1" applyFont="1" applyAlignment="1">
      <alignment horizontal="right" vertical="center"/>
    </xf>
    <xf numFmtId="40" fontId="3" fillId="0" borderId="0" xfId="10" applyNumberFormat="1" applyFont="1" applyAlignment="1">
      <alignment horizontal="center" vertical="center" wrapText="1"/>
    </xf>
    <xf numFmtId="177" fontId="3" fillId="0" borderId="0" xfId="17" applyNumberFormat="1" applyAlignment="1">
      <alignment horizontal="center" vertical="center" wrapText="1"/>
    </xf>
    <xf numFmtId="177" fontId="3" fillId="0" borderId="0" xfId="49" applyNumberFormat="1" applyAlignment="1">
      <alignment horizontal="center" vertical="center" wrapText="1"/>
    </xf>
    <xf numFmtId="176" fontId="4" fillId="0" borderId="0" xfId="5" applyNumberFormat="1" applyFont="1">
      <alignment horizontal="center" vertical="top"/>
    </xf>
    <xf numFmtId="49" fontId="4" fillId="0" borderId="0" xfId="5" applyFont="1">
      <alignment horizontal="center" vertical="top"/>
    </xf>
    <xf numFmtId="43" fontId="4" fillId="0" borderId="0" xfId="49" applyNumberFormat="1" applyFont="1" applyAlignment="1">
      <alignment horizontal="center" vertical="center" wrapText="1"/>
    </xf>
    <xf numFmtId="177" fontId="4" fillId="0" borderId="0" xfId="49" applyNumberFormat="1" applyFont="1" applyAlignment="1">
      <alignment horizontal="center" vertical="center"/>
    </xf>
    <xf numFmtId="40" fontId="4" fillId="0" borderId="0" xfId="49" applyNumberFormat="1" applyFont="1" applyAlignment="1">
      <alignment horizontal="center" vertical="top"/>
    </xf>
    <xf numFmtId="40" fontId="4" fillId="0" borderId="0" xfId="49" applyNumberFormat="1" applyFont="1" applyAlignment="1">
      <alignment horizontal="right" vertical="center"/>
    </xf>
    <xf numFmtId="40" fontId="4" fillId="0" borderId="0" xfId="49" applyNumberFormat="1" applyFont="1" applyAlignment="1">
      <alignment horizontal="center" vertical="center" wrapText="1"/>
    </xf>
    <xf numFmtId="179" fontId="3" fillId="0" borderId="0" xfId="17" applyNumberFormat="1" applyAlignment="1">
      <alignment horizontal="center" vertical="center" wrapText="1"/>
    </xf>
    <xf numFmtId="177" fontId="3" fillId="0" borderId="0" xfId="10" applyNumberFormat="1" applyFont="1" applyAlignment="1">
      <alignment horizontal="center" vertical="center" wrapText="1"/>
    </xf>
    <xf numFmtId="40" fontId="9" fillId="0" borderId="0" xfId="10" applyNumberFormat="1" applyFont="1" applyAlignment="1">
      <alignment horizontal="center" vertical="top"/>
    </xf>
    <xf numFmtId="40" fontId="9" fillId="0" borderId="0" xfId="10" applyNumberFormat="1" applyFont="1" applyAlignment="1">
      <alignment horizontal="right" vertical="center"/>
    </xf>
    <xf numFmtId="40" fontId="9" fillId="0" borderId="0" xfId="10" applyNumberFormat="1" applyFont="1" applyAlignment="1">
      <alignment horizontal="center" vertical="center" wrapText="1"/>
    </xf>
    <xf numFmtId="0" fontId="0" fillId="2" borderId="0" xfId="17" applyFont="1" applyFill="1"/>
    <xf numFmtId="0" fontId="0" fillId="3" borderId="0" xfId="17" applyFont="1" applyFill="1" applyAlignment="1">
      <alignment vertical="center"/>
    </xf>
    <xf numFmtId="0" fontId="3" fillId="2" borderId="0" xfId="17" applyFill="1" applyAlignment="1">
      <alignment horizontal="center" vertical="center"/>
    </xf>
    <xf numFmtId="0" fontId="10" fillId="0" borderId="0" xfId="17" applyFont="1" applyAlignment="1">
      <alignment horizontal="center" vertical="center"/>
    </xf>
    <xf numFmtId="0" fontId="1" fillId="4" borderId="0" xfId="17" applyFont="1" applyFill="1" applyAlignment="1">
      <alignment vertical="center"/>
    </xf>
    <xf numFmtId="0" fontId="3" fillId="0" borderId="0" xfId="17"/>
    <xf numFmtId="0" fontId="5" fillId="2" borderId="0" xfId="17" applyFont="1" applyFill="1" applyAlignment="1">
      <alignment horizontal="left" vertical="top"/>
    </xf>
    <xf numFmtId="0" fontId="5" fillId="2" borderId="11" xfId="17" applyFont="1" applyFill="1" applyBorder="1" applyAlignment="1">
      <alignment horizontal="left" vertical="top"/>
    </xf>
    <xf numFmtId="0" fontId="5" fillId="2" borderId="23" xfId="17" applyFont="1" applyFill="1" applyBorder="1" applyAlignment="1">
      <alignment horizontal="center" vertical="center"/>
    </xf>
    <xf numFmtId="0" fontId="5" fillId="2" borderId="1" xfId="17" applyFont="1" applyFill="1" applyBorder="1" applyAlignment="1">
      <alignment horizontal="left" vertical="top"/>
    </xf>
    <xf numFmtId="0" fontId="5" fillId="2" borderId="24" xfId="17" applyFont="1" applyFill="1" applyBorder="1" applyAlignment="1">
      <alignment horizontal="left" vertical="top"/>
    </xf>
    <xf numFmtId="0" fontId="5" fillId="3" borderId="16" xfId="17" applyFont="1" applyFill="1" applyBorder="1" applyAlignment="1">
      <alignment horizontal="center" vertical="center"/>
    </xf>
    <xf numFmtId="0" fontId="11" fillId="3" borderId="17" xfId="17" applyFont="1" applyFill="1" applyBorder="1" applyAlignment="1">
      <alignment horizontal="left" vertical="center"/>
    </xf>
    <xf numFmtId="0" fontId="5" fillId="3" borderId="17" xfId="17" applyFont="1" applyFill="1" applyBorder="1" applyAlignment="1">
      <alignment horizontal="left" vertical="center"/>
    </xf>
    <xf numFmtId="0" fontId="5" fillId="3" borderId="18" xfId="17" applyFont="1" applyFill="1" applyBorder="1" applyAlignment="1">
      <alignment horizontal="left" vertical="center"/>
    </xf>
    <xf numFmtId="179" fontId="3" fillId="2" borderId="10" xfId="19" applyNumberFormat="1" applyFont="1" applyFill="1" applyBorder="1" applyProtection="1">
      <alignment horizontal="center" vertical="center"/>
      <protection locked="0"/>
    </xf>
    <xf numFmtId="0" fontId="4" fillId="2" borderId="0" xfId="19" applyNumberFormat="1" applyFont="1" applyFill="1" applyBorder="1" applyAlignment="1">
      <alignment horizontal="left" vertical="center"/>
    </xf>
    <xf numFmtId="0" fontId="4" fillId="2" borderId="0" xfId="19" applyNumberFormat="1" applyFont="1" applyFill="1" applyBorder="1" applyAlignment="1" applyProtection="1">
      <alignment horizontal="left" vertical="center"/>
      <protection locked="0"/>
    </xf>
    <xf numFmtId="40" fontId="3" fillId="2" borderId="11" xfId="17" applyNumberFormat="1" applyFill="1" applyBorder="1" applyAlignment="1">
      <alignment horizontal="center" vertical="center"/>
    </xf>
    <xf numFmtId="179" fontId="10" fillId="5" borderId="10" xfId="19" applyNumberFormat="1" applyFont="1" applyFill="1" applyBorder="1" applyProtection="1">
      <alignment horizontal="center" vertical="center"/>
      <protection locked="0"/>
    </xf>
    <xf numFmtId="0" fontId="12" fillId="5" borderId="0" xfId="19" applyNumberFormat="1" applyFont="1" applyFill="1" applyBorder="1" applyAlignment="1">
      <alignment horizontal="left" vertical="center"/>
    </xf>
    <xf numFmtId="0" fontId="12" fillId="5" borderId="0" xfId="19" applyNumberFormat="1" applyFont="1" applyFill="1" applyBorder="1" applyAlignment="1" applyProtection="1">
      <alignment horizontal="left" vertical="center"/>
      <protection locked="0"/>
    </xf>
    <xf numFmtId="40" fontId="10" fillId="5" borderId="11" xfId="17" applyNumberFormat="1" applyFont="1" applyFill="1" applyBorder="1" applyAlignment="1">
      <alignment horizontal="center" vertical="center"/>
    </xf>
    <xf numFmtId="0" fontId="4" fillId="5" borderId="0" xfId="19" applyNumberFormat="1" applyFont="1" applyFill="1" applyBorder="1" applyAlignment="1">
      <alignment horizontal="left" vertical="center"/>
    </xf>
    <xf numFmtId="9" fontId="4" fillId="5" borderId="0" xfId="19" applyNumberFormat="1" applyFont="1" applyFill="1" applyBorder="1" applyAlignment="1" applyProtection="1">
      <alignment horizontal="left" vertical="center"/>
      <protection locked="0"/>
    </xf>
    <xf numFmtId="40" fontId="3" fillId="5" borderId="11" xfId="17" applyNumberFormat="1" applyFill="1" applyBorder="1" applyAlignment="1">
      <alignment horizontal="center" vertical="center"/>
    </xf>
    <xf numFmtId="0" fontId="6" fillId="4" borderId="23" xfId="17" applyFont="1" applyFill="1" applyBorder="1" applyAlignment="1">
      <alignment horizontal="center" vertical="center"/>
    </xf>
    <xf numFmtId="0" fontId="7" fillId="4" borderId="1" xfId="17" applyFont="1" applyFill="1" applyBorder="1" applyAlignment="1">
      <alignment horizontal="left" vertical="center"/>
    </xf>
    <xf numFmtId="0" fontId="2" fillId="4" borderId="1" xfId="17" applyFont="1" applyFill="1" applyBorder="1" applyAlignment="1">
      <alignment horizontal="left" vertical="center"/>
    </xf>
    <xf numFmtId="40" fontId="2" fillId="4" borderId="24" xfId="17" applyNumberFormat="1" applyFont="1" applyFill="1" applyBorder="1" applyAlignment="1">
      <alignment horizontal="center" vertical="center"/>
    </xf>
    <xf numFmtId="0" fontId="4" fillId="0" borderId="0" xfId="17" applyFont="1"/>
    <xf numFmtId="0" fontId="0" fillId="0" borderId="0" xfId="17" applyFont="1" applyAlignment="1">
      <alignment horizontal="center"/>
    </xf>
    <xf numFmtId="0" fontId="0" fillId="0" borderId="0" xfId="17" applyFont="1" applyAlignment="1">
      <alignment horizontal="right" vertical="center"/>
    </xf>
    <xf numFmtId="0" fontId="5" fillId="0" borderId="0" xfId="17" applyFont="1" applyAlignment="1">
      <alignment horizontal="center" vertical="center"/>
    </xf>
    <xf numFmtId="176" fontId="1" fillId="0" borderId="12" xfId="17" applyNumberFormat="1" applyFont="1" applyBorder="1" applyAlignment="1">
      <alignment horizontal="center" vertical="center"/>
    </xf>
    <xf numFmtId="0" fontId="6" fillId="0" borderId="13" xfId="17" applyFont="1" applyBorder="1" applyAlignment="1">
      <alignment horizontal="left" vertical="center" wrapText="1"/>
    </xf>
    <xf numFmtId="0" fontId="6" fillId="0" borderId="14" xfId="17" applyFont="1" applyBorder="1" applyAlignment="1">
      <alignment horizontal="center" vertical="center" wrapText="1"/>
    </xf>
    <xf numFmtId="40" fontId="1" fillId="0" borderId="13" xfId="8" applyNumberFormat="1" applyFont="1" applyBorder="1" applyAlignment="1">
      <alignment horizontal="right" vertical="center"/>
    </xf>
    <xf numFmtId="40" fontId="6" fillId="0" borderId="15" xfId="8" applyNumberFormat="1" applyFont="1" applyBorder="1" applyAlignment="1">
      <alignment horizontal="left" vertical="center" wrapText="1"/>
    </xf>
    <xf numFmtId="177" fontId="1" fillId="0" borderId="14" xfId="8" applyNumberFormat="1" applyFont="1" applyBorder="1" applyAlignment="1">
      <alignment horizontal="center" vertical="center"/>
    </xf>
    <xf numFmtId="176" fontId="1" fillId="0" borderId="17" xfId="19" applyNumberFormat="1" applyFont="1" applyBorder="1" applyProtection="1">
      <alignment horizontal="center" vertical="center"/>
      <protection locked="0"/>
    </xf>
    <xf numFmtId="176" fontId="6" fillId="0" borderId="9" xfId="19" applyNumberFormat="1" applyFont="1" applyBorder="1" applyProtection="1">
      <alignment horizontal="center" vertical="center"/>
      <protection locked="0"/>
    </xf>
    <xf numFmtId="176" fontId="2" fillId="0" borderId="21" xfId="5" applyNumberFormat="1" applyFont="1" applyBorder="1" applyAlignment="1">
      <alignment horizontal="center" vertical="center"/>
    </xf>
    <xf numFmtId="176" fontId="1" fillId="0" borderId="1" xfId="17" applyNumberFormat="1" applyFont="1" applyBorder="1" applyAlignment="1">
      <alignment horizontal="center" vertical="center"/>
    </xf>
    <xf numFmtId="179" fontId="3" fillId="2" borderId="10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40" fontId="3" fillId="2" borderId="11" xfId="0" applyNumberFormat="1" applyFont="1" applyFill="1" applyBorder="1" applyAlignment="1">
      <alignment horizontal="center" vertical="center"/>
    </xf>
    <xf numFmtId="176" fontId="2" fillId="0" borderId="20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43" fontId="1" fillId="0" borderId="21" xfId="0" applyNumberFormat="1" applyFont="1" applyBorder="1" applyAlignment="1">
      <alignment horizontal="center" vertical="center" wrapText="1"/>
    </xf>
    <xf numFmtId="177" fontId="2" fillId="0" borderId="21" xfId="0" applyNumberFormat="1" applyFont="1" applyBorder="1" applyAlignment="1">
      <alignment horizontal="center" vertical="center"/>
    </xf>
    <xf numFmtId="40" fontId="2" fillId="0" borderId="21" xfId="0" applyNumberFormat="1" applyFont="1" applyBorder="1" applyAlignment="1">
      <alignment horizontal="center" vertical="center"/>
    </xf>
    <xf numFmtId="40" fontId="2" fillId="0" borderId="21" xfId="0" applyNumberFormat="1" applyFont="1" applyBorder="1" applyAlignment="1">
      <alignment horizontal="right" vertical="center"/>
    </xf>
    <xf numFmtId="40" fontId="2" fillId="0" borderId="22" xfId="0" applyNumberFormat="1" applyFont="1" applyBorder="1" applyAlignment="1">
      <alignment horizontal="center" vertical="center" wrapText="1"/>
    </xf>
    <xf numFmtId="176" fontId="1" fillId="0" borderId="12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 wrapText="1"/>
    </xf>
    <xf numFmtId="177" fontId="1" fillId="0" borderId="14" xfId="0" applyNumberFormat="1" applyFont="1" applyBorder="1" applyAlignment="1">
      <alignment horizontal="center" vertical="center"/>
    </xf>
    <xf numFmtId="40" fontId="6" fillId="0" borderId="15" xfId="0" applyNumberFormat="1" applyFont="1" applyBorder="1" applyAlignment="1">
      <alignment horizontal="left" vertical="center" wrapText="1"/>
    </xf>
    <xf numFmtId="40" fontId="2" fillId="0" borderId="9" xfId="0" applyNumberFormat="1" applyFont="1" applyBorder="1" applyAlignment="1">
      <alignment horizontal="center" vertical="center"/>
    </xf>
    <xf numFmtId="40" fontId="1" fillId="0" borderId="34" xfId="0" applyNumberFormat="1" applyFont="1" applyBorder="1" applyAlignment="1">
      <alignment horizontal="center" vertical="center"/>
    </xf>
    <xf numFmtId="40" fontId="6" fillId="0" borderId="15" xfId="0" applyNumberFormat="1" applyFont="1" applyBorder="1" applyAlignment="1">
      <alignment horizontal="center" vertical="center" wrapText="1"/>
    </xf>
    <xf numFmtId="0" fontId="5" fillId="2" borderId="10" xfId="17" applyFont="1" applyFill="1" applyBorder="1" applyAlignment="1">
      <alignment horizontal="left" vertical="center"/>
    </xf>
    <xf numFmtId="0" fontId="0" fillId="2" borderId="0" xfId="17" applyFont="1" applyFill="1"/>
    <xf numFmtId="0" fontId="5" fillId="2" borderId="32" xfId="17" applyFont="1" applyFill="1" applyBorder="1" applyAlignment="1">
      <alignment horizontal="left" vertical="top"/>
    </xf>
    <xf numFmtId="0" fontId="0" fillId="0" borderId="17" xfId="0" applyBorder="1"/>
    <xf numFmtId="0" fontId="0" fillId="0" borderId="18" xfId="0" applyBorder="1"/>
    <xf numFmtId="0" fontId="5" fillId="2" borderId="33" xfId="17" applyFont="1" applyFill="1" applyBorder="1" applyAlignment="1">
      <alignment horizontal="left" vertical="top"/>
    </xf>
    <xf numFmtId="0" fontId="0" fillId="0" borderId="11" xfId="0" applyBorder="1"/>
    <xf numFmtId="0" fontId="5" fillId="0" borderId="10" xfId="17" applyFont="1" applyBorder="1" applyAlignment="1">
      <alignment horizontal="left" vertical="top"/>
    </xf>
    <xf numFmtId="0" fontId="0" fillId="0" borderId="0" xfId="17" applyFont="1"/>
    <xf numFmtId="0" fontId="5" fillId="0" borderId="16" xfId="17" applyFont="1" applyBorder="1" applyAlignment="1">
      <alignment horizontal="left" vertical="top"/>
    </xf>
  </cellXfs>
  <cellStyles count="69">
    <cellStyle name="_x0007_" xfId="62" xr:uid="{00000000-0005-0000-0000-00003F000000}"/>
    <cellStyle name="_ET_STYLE_NoName_00_" xfId="3" xr:uid="{00000000-0005-0000-0000-000004000000}"/>
    <cellStyle name="¤@¯ë_CocaCola-R4" xfId="8" xr:uid="{00000000-0005-0000-0000-000009000000}"/>
    <cellStyle name="¤d¤À¦ì_CocaCola-R4" xfId="10" xr:uid="{00000000-0005-0000-0000-00000B000000}"/>
    <cellStyle name="0,0_x000d__x000a_NA_x000d__x000a_" xfId="6" xr:uid="{00000000-0005-0000-0000-000007000000}"/>
    <cellStyle name="000" xfId="12" xr:uid="{00000000-0005-0000-0000-00000D000000}"/>
    <cellStyle name="1111" xfId="2" xr:uid="{00000000-0005-0000-0000-000003000000}"/>
    <cellStyle name="2222" xfId="13" xr:uid="{00000000-0005-0000-0000-00000E000000}"/>
    <cellStyle name="description" xfId="1" xr:uid="{00000000-0005-0000-0000-000002000000}"/>
    <cellStyle name="ITEM" xfId="14" xr:uid="{00000000-0005-0000-0000-00000F000000}"/>
    <cellStyle name="NO" xfId="5" xr:uid="{00000000-0005-0000-0000-000006000000}"/>
    <cellStyle name="Normal" xfId="64" xr:uid="{00000000-0005-0000-0000-000041000000}"/>
    <cellStyle name="Normal 2" xfId="67" xr:uid="{00000000-0005-0000-0000-000044000000}"/>
    <cellStyle name="NOTE" xfId="15" xr:uid="{00000000-0005-0000-0000-000010000000}"/>
    <cellStyle name="Title" xfId="16" xr:uid="{00000000-0005-0000-0000-000011000000}"/>
    <cellStyle name="title main" xfId="4" xr:uid="{00000000-0005-0000-0000-000005000000}"/>
    <cellStyle name="Title_Credit Lyonnais Quotation R2 - China Resource " xfId="18" xr:uid="{00000000-0005-0000-0000-000013000000}"/>
    <cellStyle name="Title_Veritas Quotation R14Final" xfId="19" xr:uid="{00000000-0005-0000-0000-000014000000}"/>
    <cellStyle name="unit" xfId="20" xr:uid="{00000000-0005-0000-0000-000015000000}"/>
    <cellStyle name="week 上m" xfId="21" xr:uid="{00000000-0005-0000-0000-000016000000}"/>
    <cellStyle name="week 下m" xfId="22" xr:uid="{00000000-0005-0000-0000-000017000000}"/>
    <cellStyle name="備註_c" xfId="23" xr:uid="{00000000-0005-0000-0000-000018000000}"/>
    <cellStyle name="備註1ch" xfId="24" xr:uid="{00000000-0005-0000-0000-000019000000}"/>
    <cellStyle name="編號_cho-32-192-" xfId="25" xr:uid="{00000000-0005-0000-0000-00001A000000}"/>
    <cellStyle name="編號A容h" xfId="26" xr:uid="{00000000-0005-0000-0000-00001B000000}"/>
    <cellStyle name="編號內容" xfId="27" xr:uid="{00000000-0005-0000-0000-00001C000000}"/>
    <cellStyle name="編號總價" xfId="28" xr:uid="{00000000-0005-0000-0000-00001D000000}"/>
    <cellStyle name="標題內容" xfId="29" xr:uid="{00000000-0005-0000-0000-00001E000000}"/>
    <cellStyle name="材料_cho-09-703-01V3" xfId="30" xr:uid="{00000000-0005-0000-0000-00001F000000}"/>
    <cellStyle name="材料1_C" xfId="31" xr:uid="{00000000-0005-0000-0000-000020000000}"/>
    <cellStyle name="材料位_" xfId="32" xr:uid="{00000000-0005-0000-0000-000021000000}"/>
    <cellStyle name="常规" xfId="0" builtinId="0"/>
    <cellStyle name="常规 16" xfId="66" xr:uid="{00000000-0005-0000-0000-000043000000}"/>
    <cellStyle name="常规 2" xfId="17" xr:uid="{00000000-0005-0000-0000-000012000000}"/>
    <cellStyle name="常规 2 2" xfId="58" xr:uid="{00000000-0005-0000-0000-00003B000000}"/>
    <cellStyle name="常规 3" xfId="33" xr:uid="{00000000-0005-0000-0000-000022000000}"/>
    <cellStyle name="常规 5" xfId="63" xr:uid="{00000000-0005-0000-0000-000040000000}"/>
    <cellStyle name="常规 9" xfId="65" xr:uid="{00000000-0005-0000-0000-000042000000}"/>
    <cellStyle name="常规_BQ" xfId="35" xr:uid="{00000000-0005-0000-0000-000024000000}"/>
    <cellStyle name="單價總價" xfId="9" xr:uid="{00000000-0005-0000-0000-00000A000000}"/>
    <cellStyle name="單位_C" xfId="36" xr:uid="{00000000-0005-0000-0000-000025000000}"/>
    <cellStyle name="單位1c" xfId="37" xr:uid="{00000000-0005-0000-0000-000026000000}"/>
    <cellStyle name="單位位_" xfId="11" xr:uid="{00000000-0005-0000-0000-00000C000000}"/>
    <cellStyle name="單項總價Come" xfId="38" xr:uid="{00000000-0005-0000-0000-000027000000}"/>
    <cellStyle name="單項總價ho-0" xfId="39" xr:uid="{00000000-0005-0000-0000-000028000000}"/>
    <cellStyle name="單項總價ho-3" xfId="40" xr:uid="{00000000-0005-0000-0000-000029000000}"/>
    <cellStyle name="單項總價omet" xfId="41" xr:uid="{00000000-0005-0000-0000-00002A000000}"/>
    <cellStyle name="附標題cho" xfId="42" xr:uid="{00000000-0005-0000-0000-00002B000000}"/>
    <cellStyle name="货币[0] 2" xfId="7" xr:uid="{00000000-0005-0000-0000-000008000000}"/>
    <cellStyle name="進度內容ho-0" xfId="43" xr:uid="{00000000-0005-0000-0000-00002C000000}"/>
    <cellStyle name="進度內容ho-3" xfId="34" xr:uid="{00000000-0005-0000-0000-000023000000}"/>
    <cellStyle name="欄名_c" xfId="44" xr:uid="{00000000-0005-0000-0000-00002D000000}"/>
    <cellStyle name="欄名1ch" xfId="45" xr:uid="{00000000-0005-0000-0000-00002E000000}"/>
    <cellStyle name="欄名1容h" xfId="46" xr:uid="{00000000-0005-0000-0000-00002F000000}"/>
    <cellStyle name="欄名A容" xfId="47" xr:uid="{00000000-0005-0000-0000-000030000000}"/>
    <cellStyle name="千分位_HTR-03-034-Q2 - REP-B-R4-18-06" xfId="48" xr:uid="{00000000-0005-0000-0000-000031000000}"/>
    <cellStyle name="千位分隔 2" xfId="49" xr:uid="{00000000-0005-0000-0000-000032000000}"/>
    <cellStyle name="千位分隔 2 2" xfId="68" xr:uid="{00000000-0005-0000-0000-000045000000}"/>
    <cellStyle name="千位分隔 3" xfId="50" xr:uid="{00000000-0005-0000-0000-000033000000}"/>
    <cellStyle name="千位分隔 4" xfId="51" xr:uid="{00000000-0005-0000-0000-000034000000}"/>
    <cellStyle name="千位分隔 5" xfId="52" xr:uid="{00000000-0005-0000-0000-000035000000}"/>
    <cellStyle name="日期位_" xfId="53" xr:uid="{00000000-0005-0000-0000-000036000000}"/>
    <cellStyle name="數量內容" xfId="55" xr:uid="{00000000-0005-0000-0000-000038000000}"/>
    <cellStyle name="圖宇內容" xfId="56" xr:uid="{00000000-0005-0000-0000-000039000000}"/>
    <cellStyle name="样式 1" xfId="57" xr:uid="{00000000-0005-0000-0000-00003A000000}"/>
    <cellStyle name="一般_HTR-03-034-Q2 - REP-B-R4-18-06" xfId="59" xr:uid="{00000000-0005-0000-0000-00003C000000}"/>
    <cellStyle name="總價_c" xfId="60" xr:uid="{00000000-0005-0000-0000-00003D000000}"/>
    <cellStyle name="總價A容" xfId="54" xr:uid="{00000000-0005-0000-0000-000037000000}"/>
    <cellStyle name="總價總價" xfId="61" xr:uid="{00000000-0005-0000-0000-00003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295275</xdr:colOff>
      <xdr:row>0</xdr:row>
      <xdr:rowOff>184150</xdr:rowOff>
    </xdr:from>
    <xdr:to>
      <xdr:col>3</xdr:col>
      <xdr:colOff>1247775</xdr:colOff>
      <xdr:row>2</xdr:row>
      <xdr:rowOff>203200</xdr:rowOff>
    </xdr:to>
    <xdr:pic>
      <xdr:nvPicPr>
        <xdr:cNvPr id="37043" name="图片 2">
          <a:extLst>
            <a:ext uri="{FF2B5EF4-FFF2-40B4-BE49-F238E27FC236}">
              <a16:creationId xmlns:a16="http://schemas.microsoft.com/office/drawing/2014/main" id="{00000000-0008-0000-0000-0000B39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467225" y="184150"/>
          <a:ext cx="1803400" cy="5270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210185</xdr:colOff>
      <xdr:row>1</xdr:row>
      <xdr:rowOff>52705</xdr:rowOff>
    </xdr:from>
    <xdr:to>
      <xdr:col>12</xdr:col>
      <xdr:colOff>935040</xdr:colOff>
      <xdr:row>3</xdr:row>
      <xdr:rowOff>244793</xdr:rowOff>
    </xdr:to>
    <xdr:pic>
      <xdr:nvPicPr>
        <xdr:cNvPr id="2" name="图片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14340" y="319405"/>
          <a:ext cx="2628900" cy="7239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view="pageBreakPreview" topLeftCell="A10" zoomScaleNormal="100" workbookViewId="0">
      <selection activeCell="H13" sqref="H13"/>
    </sheetView>
  </sheetViews>
  <sheetFormatPr defaultColWidth="9" defaultRowHeight="12.75"/>
  <cols>
    <col min="1" max="1" width="9" style="14" customWidth="1"/>
    <col min="2" max="2" width="45.75" style="74" customWidth="1"/>
    <col min="3" max="3" width="11.125" style="74" customWidth="1"/>
    <col min="4" max="4" width="21.875" style="74" customWidth="1"/>
    <col min="5" max="16384" width="9" style="74"/>
  </cols>
  <sheetData>
    <row r="1" spans="1:4" s="69" customFormat="1" ht="20.100000000000001" customHeight="1">
      <c r="A1" s="135" t="s">
        <v>0</v>
      </c>
      <c r="B1" s="136"/>
      <c r="C1" s="136"/>
      <c r="D1" s="137"/>
    </row>
    <row r="2" spans="1:4" s="69" customFormat="1" ht="20.100000000000001" customHeight="1">
      <c r="A2" s="138" t="s">
        <v>1</v>
      </c>
      <c r="B2" s="134"/>
      <c r="C2" s="134"/>
      <c r="D2" s="139"/>
    </row>
    <row r="3" spans="1:4" s="69" customFormat="1" ht="20.100000000000001" customHeight="1">
      <c r="A3" s="133" t="s">
        <v>276</v>
      </c>
      <c r="B3" s="134"/>
      <c r="C3" s="75"/>
      <c r="D3" s="76"/>
    </row>
    <row r="4" spans="1:4" s="69" customFormat="1" ht="20.100000000000001" customHeight="1">
      <c r="A4" s="133" t="s">
        <v>2</v>
      </c>
      <c r="B4" s="134"/>
      <c r="C4" s="75"/>
      <c r="D4" s="76"/>
    </row>
    <row r="5" spans="1:4" s="69" customFormat="1" ht="20.100000000000001" customHeight="1">
      <c r="A5" s="133" t="s">
        <v>3</v>
      </c>
      <c r="B5" s="134"/>
      <c r="C5" s="75"/>
      <c r="D5" s="76"/>
    </row>
    <row r="6" spans="1:4" s="69" customFormat="1" ht="8.1" customHeight="1">
      <c r="A6" s="77"/>
      <c r="B6" s="78"/>
      <c r="C6" s="78"/>
      <c r="D6" s="79"/>
    </row>
    <row r="7" spans="1:4" s="70" customFormat="1" ht="21" customHeight="1">
      <c r="A7" s="80" t="s">
        <v>4</v>
      </c>
      <c r="B7" s="81" t="s">
        <v>5</v>
      </c>
      <c r="C7" s="82"/>
      <c r="D7" s="83" t="s">
        <v>6</v>
      </c>
    </row>
    <row r="8" spans="1:4" s="71" customFormat="1" ht="27" customHeight="1">
      <c r="A8" s="84" t="s">
        <v>7</v>
      </c>
      <c r="B8" s="85" t="s">
        <v>8</v>
      </c>
      <c r="C8" s="86"/>
      <c r="D8" s="87">
        <f>工程直接费!L9</f>
        <v>31680</v>
      </c>
    </row>
    <row r="9" spans="1:4" s="72" customFormat="1" ht="27" customHeight="1">
      <c r="A9" s="113" t="s">
        <v>9</v>
      </c>
      <c r="B9" s="114" t="s">
        <v>10</v>
      </c>
      <c r="C9" s="114"/>
      <c r="D9" s="115">
        <f>D10+D11+D12+D13+D14+D15</f>
        <v>714629</v>
      </c>
    </row>
    <row r="10" spans="1:4" s="71" customFormat="1" ht="27" customHeight="1">
      <c r="A10" s="113" t="s">
        <v>11</v>
      </c>
      <c r="B10" s="114" t="s">
        <v>12</v>
      </c>
      <c r="C10" s="114"/>
      <c r="D10" s="115">
        <f>工程直接费!L12</f>
        <v>161972.42000000001</v>
      </c>
    </row>
    <row r="11" spans="1:4" s="71" customFormat="1" ht="27" customHeight="1">
      <c r="A11" s="113" t="s">
        <v>13</v>
      </c>
      <c r="B11" s="114" t="s">
        <v>14</v>
      </c>
      <c r="C11" s="114"/>
      <c r="D11" s="115">
        <f>工程直接费!L23</f>
        <v>108211.68</v>
      </c>
    </row>
    <row r="12" spans="1:4" s="73" customFormat="1" ht="27" customHeight="1">
      <c r="A12" s="113" t="s">
        <v>15</v>
      </c>
      <c r="B12" s="114" t="s">
        <v>16</v>
      </c>
      <c r="C12" s="114"/>
      <c r="D12" s="115">
        <f>工程直接费!L32</f>
        <v>131288.63</v>
      </c>
    </row>
    <row r="13" spans="1:4" ht="27" customHeight="1">
      <c r="A13" s="113" t="s">
        <v>17</v>
      </c>
      <c r="B13" s="114" t="s">
        <v>18</v>
      </c>
      <c r="C13" s="114"/>
      <c r="D13" s="115">
        <f>工程直接费!L40</f>
        <v>190012.59</v>
      </c>
    </row>
    <row r="14" spans="1:4" ht="27" customHeight="1">
      <c r="A14" s="113" t="s">
        <v>19</v>
      </c>
      <c r="B14" s="114" t="s">
        <v>20</v>
      </c>
      <c r="C14" s="114"/>
      <c r="D14" s="115">
        <f>工程直接费!L48</f>
        <v>72141.64</v>
      </c>
    </row>
    <row r="15" spans="1:4" ht="27" customHeight="1">
      <c r="A15" s="113" t="s">
        <v>21</v>
      </c>
      <c r="B15" s="114" t="s">
        <v>22</v>
      </c>
      <c r="C15" s="114"/>
      <c r="D15" s="115">
        <f>工程直接费!L55</f>
        <v>51002.04</v>
      </c>
    </row>
    <row r="16" spans="1:4" ht="27" customHeight="1">
      <c r="A16" s="113" t="s">
        <v>23</v>
      </c>
      <c r="B16" s="114" t="s">
        <v>24</v>
      </c>
      <c r="C16" s="114"/>
      <c r="D16" s="115">
        <f>工程直接费!L60</f>
        <v>154080</v>
      </c>
    </row>
    <row r="17" spans="1:4" ht="27" customHeight="1">
      <c r="A17" s="113" t="s">
        <v>25</v>
      </c>
      <c r="B17" s="114" t="s">
        <v>26</v>
      </c>
      <c r="C17" s="114"/>
      <c r="D17" s="115">
        <f>工程直接费!L62</f>
        <v>143860.79999999999</v>
      </c>
    </row>
    <row r="18" spans="1:4" ht="27" customHeight="1">
      <c r="A18" s="113" t="s">
        <v>27</v>
      </c>
      <c r="B18" s="114" t="s">
        <v>28</v>
      </c>
      <c r="C18" s="114"/>
      <c r="D18" s="115">
        <f>工程直接费!L65</f>
        <v>46080</v>
      </c>
    </row>
    <row r="19" spans="1:4" ht="27" customHeight="1">
      <c r="A19" s="113" t="s">
        <v>29</v>
      </c>
      <c r="B19" s="114" t="s">
        <v>30</v>
      </c>
      <c r="C19" s="114"/>
      <c r="D19" s="115">
        <f>工程直接费!L67</f>
        <v>48960</v>
      </c>
    </row>
    <row r="20" spans="1:4" ht="27" customHeight="1">
      <c r="A20" s="113" t="s">
        <v>31</v>
      </c>
      <c r="B20" s="114" t="s">
        <v>32</v>
      </c>
      <c r="C20" s="114"/>
      <c r="D20" s="115">
        <f>工程直接费!L69</f>
        <v>27430.05</v>
      </c>
    </row>
    <row r="21" spans="1:4">
      <c r="A21" s="88" t="s">
        <v>33</v>
      </c>
      <c r="B21" s="89" t="s">
        <v>34</v>
      </c>
      <c r="C21" s="90"/>
      <c r="D21" s="91">
        <f>D8+D9+D16+D17+D18+D19+D20</f>
        <v>1166719.8500000001</v>
      </c>
    </row>
    <row r="22" spans="1:4">
      <c r="A22" s="88" t="s">
        <v>35</v>
      </c>
      <c r="B22" s="92" t="s">
        <v>36</v>
      </c>
      <c r="C22" s="93">
        <v>0.1</v>
      </c>
      <c r="D22" s="94">
        <f>D21*C22</f>
        <v>116671.99</v>
      </c>
    </row>
    <row r="23" spans="1:4">
      <c r="A23" s="88" t="s">
        <v>37</v>
      </c>
      <c r="B23" s="92" t="s">
        <v>38</v>
      </c>
      <c r="C23" s="93">
        <v>0.09</v>
      </c>
      <c r="D23" s="94">
        <f>(D21+D22)*C23</f>
        <v>115505.27</v>
      </c>
    </row>
    <row r="24" spans="1:4" ht="15">
      <c r="A24" s="95" t="s">
        <v>39</v>
      </c>
      <c r="B24" s="96" t="s">
        <v>40</v>
      </c>
      <c r="C24" s="97"/>
      <c r="D24" s="98">
        <f>D21+D22+D23</f>
        <v>1398897.11</v>
      </c>
    </row>
    <row r="25" spans="1:4">
      <c r="B25" s="99" t="s">
        <v>41</v>
      </c>
    </row>
    <row r="26" spans="1:4">
      <c r="B26" s="74" t="s">
        <v>42</v>
      </c>
    </row>
    <row r="27" spans="1:4">
      <c r="B27" s="74" t="s">
        <v>43</v>
      </c>
    </row>
    <row r="28" spans="1:4">
      <c r="B28" s="74" t="s">
        <v>44</v>
      </c>
    </row>
    <row r="29" spans="1:4">
      <c r="B29" s="74" t="s">
        <v>45</v>
      </c>
    </row>
    <row r="30" spans="1:4">
      <c r="B30" s="74" t="s">
        <v>46</v>
      </c>
    </row>
  </sheetData>
  <mergeCells count="5">
    <mergeCell ref="A4:B4"/>
    <mergeCell ref="A1:D1"/>
    <mergeCell ref="A5:B5"/>
    <mergeCell ref="A2:D2"/>
    <mergeCell ref="A3:B3"/>
  </mergeCells>
  <phoneticPr fontId="30" type="noConversion"/>
  <printOptions horizontalCentered="1"/>
  <pageMargins left="0.59027777777777801" right="0.59027777777777801" top="0.55069444444444404" bottom="0.55069444444444404" header="0.43263888888888902" footer="0"/>
  <pageSetup paperSize="9" scale="95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0"/>
  <sheetViews>
    <sheetView showGridLines="0" tabSelected="1" view="pageBreakPreview" zoomScale="85" zoomScaleNormal="85" zoomScaleSheetLayoutView="85" workbookViewId="0">
      <pane ySplit="7" topLeftCell="A68" activePane="bottomLeft" state="frozen"/>
      <selection pane="bottomLeft" activeCell="P77" sqref="P77"/>
    </sheetView>
  </sheetViews>
  <sheetFormatPr defaultColWidth="8.625" defaultRowHeight="13.5" customHeight="1"/>
  <cols>
    <col min="1" max="1" width="6.875" style="8" customWidth="1"/>
    <col min="2" max="7" width="17.875" style="8" hidden="1" customWidth="1"/>
    <col min="8" max="8" width="45.75" style="9" customWidth="1"/>
    <col min="9" max="9" width="6.125" style="7" customWidth="1"/>
    <col min="10" max="10" width="10.875" style="10" customWidth="1"/>
    <col min="11" max="11" width="10.625" style="11" customWidth="1"/>
    <col min="12" max="12" width="14.25" style="12" customWidth="1"/>
    <col min="13" max="13" width="18.25" style="13" customWidth="1"/>
    <col min="14" max="16384" width="8.625" style="14"/>
  </cols>
  <sheetData>
    <row r="1" spans="1:13" s="1" customFormat="1" ht="21" customHeight="1">
      <c r="A1" s="142" t="str">
        <f>报价汇总!A1</f>
        <v>Estimation of construction cost for fit-out work</v>
      </c>
      <c r="B1" s="136"/>
      <c r="C1" s="136"/>
      <c r="D1" s="136"/>
      <c r="E1" s="136"/>
      <c r="F1" s="136"/>
      <c r="G1" s="136"/>
      <c r="H1" s="136"/>
      <c r="I1" s="136"/>
      <c r="J1" s="15"/>
      <c r="K1" s="15"/>
      <c r="L1" s="16"/>
      <c r="M1" s="17"/>
    </row>
    <row r="2" spans="1:13" s="1" customFormat="1" ht="21" customHeight="1">
      <c r="A2" s="140" t="str">
        <f>报价汇总!A2</f>
        <v>Project: 博彦科技深圳展厅设计施工项目</v>
      </c>
      <c r="B2" s="141"/>
      <c r="C2" s="141"/>
      <c r="D2" s="141"/>
      <c r="E2" s="141"/>
      <c r="F2" s="141"/>
      <c r="G2" s="141"/>
      <c r="H2" s="141"/>
      <c r="I2" s="141"/>
      <c r="J2" s="100"/>
      <c r="K2" s="100"/>
      <c r="L2" s="101"/>
      <c r="M2" s="18"/>
    </row>
    <row r="3" spans="1:13" s="1" customFormat="1" ht="21" customHeight="1">
      <c r="A3" s="140" t="str">
        <f>报价汇总!A3</f>
        <v>Project address:深圳</v>
      </c>
      <c r="B3" s="141"/>
      <c r="C3" s="141"/>
      <c r="D3" s="141"/>
      <c r="E3" s="141"/>
      <c r="F3" s="141"/>
      <c r="G3" s="141"/>
      <c r="H3" s="141"/>
      <c r="I3" s="102"/>
      <c r="J3" s="100"/>
      <c r="K3" s="100"/>
      <c r="L3" s="101"/>
      <c r="M3" s="18"/>
    </row>
    <row r="4" spans="1:13" s="1" customFormat="1" ht="21" customHeight="1">
      <c r="A4" s="140" t="str">
        <f>报价汇总!A4</f>
        <v>Issue date:2026-07-03</v>
      </c>
      <c r="B4" s="141"/>
      <c r="C4" s="141"/>
      <c r="D4" s="141"/>
      <c r="E4" s="141"/>
      <c r="F4" s="141"/>
      <c r="G4" s="141"/>
      <c r="H4" s="141"/>
      <c r="I4" s="102"/>
      <c r="J4" s="100"/>
      <c r="K4" s="100"/>
      <c r="L4" s="101"/>
      <c r="M4" s="18"/>
    </row>
    <row r="5" spans="1:13" s="1" customFormat="1" ht="21" customHeight="1" thickBot="1">
      <c r="A5" s="140" t="s">
        <v>3</v>
      </c>
      <c r="B5" s="141"/>
      <c r="C5" s="141"/>
      <c r="D5" s="141"/>
      <c r="E5" s="141"/>
      <c r="F5" s="141"/>
      <c r="G5" s="141"/>
      <c r="H5" s="141"/>
      <c r="I5" s="102"/>
      <c r="J5" s="100"/>
      <c r="K5" s="100"/>
      <c r="L5" s="101"/>
      <c r="M5" s="18"/>
    </row>
    <row r="6" spans="1:13" s="2" customFormat="1" ht="21" customHeight="1">
      <c r="A6" s="19" t="s">
        <v>47</v>
      </c>
      <c r="B6" s="109" t="s">
        <v>48</v>
      </c>
      <c r="C6" s="109" t="s">
        <v>49</v>
      </c>
      <c r="D6" s="109" t="s">
        <v>50</v>
      </c>
      <c r="E6" s="109" t="s">
        <v>51</v>
      </c>
      <c r="F6" s="109" t="s">
        <v>52</v>
      </c>
      <c r="G6" s="109" t="s">
        <v>53</v>
      </c>
      <c r="H6" s="20" t="s">
        <v>54</v>
      </c>
      <c r="I6" s="21" t="s">
        <v>55</v>
      </c>
      <c r="J6" s="22" t="s">
        <v>56</v>
      </c>
      <c r="K6" s="23" t="s">
        <v>57</v>
      </c>
      <c r="L6" s="24" t="s">
        <v>58</v>
      </c>
      <c r="M6" s="25" t="s">
        <v>59</v>
      </c>
    </row>
    <row r="7" spans="1:13" s="2" customFormat="1" ht="20.25" customHeight="1">
      <c r="A7" s="26" t="s">
        <v>60</v>
      </c>
      <c r="B7" s="110" t="s">
        <v>61</v>
      </c>
      <c r="C7" s="110" t="s">
        <v>62</v>
      </c>
      <c r="D7" s="110" t="s">
        <v>63</v>
      </c>
      <c r="E7" s="110" t="s">
        <v>64</v>
      </c>
      <c r="F7" s="110" t="s">
        <v>65</v>
      </c>
      <c r="G7" s="110" t="s">
        <v>66</v>
      </c>
      <c r="H7" s="27" t="s">
        <v>67</v>
      </c>
      <c r="I7" s="28" t="s">
        <v>68</v>
      </c>
      <c r="J7" s="29" t="s">
        <v>69</v>
      </c>
      <c r="K7" s="30" t="s">
        <v>70</v>
      </c>
      <c r="L7" s="31" t="s">
        <v>71</v>
      </c>
      <c r="M7" s="32" t="s">
        <v>72</v>
      </c>
    </row>
    <row r="8" spans="1:13" s="3" customFormat="1" ht="27" customHeight="1">
      <c r="A8" s="33" t="s">
        <v>4</v>
      </c>
      <c r="B8" s="111"/>
      <c r="C8" s="111"/>
      <c r="D8" s="111"/>
      <c r="E8" s="111"/>
      <c r="F8" s="111"/>
      <c r="G8" s="111"/>
      <c r="H8" s="34" t="s">
        <v>34</v>
      </c>
      <c r="I8" s="35"/>
      <c r="J8" s="36"/>
      <c r="K8" s="36"/>
      <c r="L8" s="37">
        <f>L9+L11+L60+L62+L65+L67+L69</f>
        <v>1166719.8500000001</v>
      </c>
      <c r="M8" s="38"/>
    </row>
    <row r="9" spans="1:13" s="3" customFormat="1" ht="30" customHeight="1">
      <c r="A9" s="33" t="s">
        <v>7</v>
      </c>
      <c r="B9" s="111" t="s">
        <v>73</v>
      </c>
      <c r="C9" s="111"/>
      <c r="D9" s="111"/>
      <c r="E9" s="111"/>
      <c r="F9" s="111"/>
      <c r="G9" s="111"/>
      <c r="H9" s="34" t="s">
        <v>8</v>
      </c>
      <c r="I9" s="39"/>
      <c r="J9" s="35"/>
      <c r="K9" s="40"/>
      <c r="L9" s="41">
        <f>SUM(L10:L10)</f>
        <v>31680</v>
      </c>
      <c r="M9" s="42"/>
    </row>
    <row r="10" spans="1:13" s="2" customFormat="1" ht="39" customHeight="1" thickBot="1">
      <c r="A10" s="103" t="s">
        <v>74</v>
      </c>
      <c r="B10" s="112" t="s">
        <v>75</v>
      </c>
      <c r="C10" s="112" t="s">
        <v>8</v>
      </c>
      <c r="D10" s="112"/>
      <c r="E10" s="112" t="s">
        <v>76</v>
      </c>
      <c r="F10" s="112" t="s">
        <v>77</v>
      </c>
      <c r="G10" s="112" t="s">
        <v>78</v>
      </c>
      <c r="H10" s="104" t="s">
        <v>8</v>
      </c>
      <c r="I10" s="105" t="s">
        <v>79</v>
      </c>
      <c r="J10" s="108">
        <v>480</v>
      </c>
      <c r="K10" s="131">
        <v>66</v>
      </c>
      <c r="L10" s="106">
        <f>J10*K10</f>
        <v>31680</v>
      </c>
      <c r="M10" s="107"/>
    </row>
    <row r="11" spans="1:13" s="4" customFormat="1" ht="30" customHeight="1">
      <c r="A11" s="116" t="s">
        <v>9</v>
      </c>
      <c r="B11" s="117" t="s">
        <v>80</v>
      </c>
      <c r="C11" s="117"/>
      <c r="D11" s="117"/>
      <c r="E11" s="117"/>
      <c r="F11" s="117"/>
      <c r="G11" s="117"/>
      <c r="H11" s="118" t="s">
        <v>10</v>
      </c>
      <c r="I11" s="119"/>
      <c r="J11" s="120"/>
      <c r="K11" s="130"/>
      <c r="L11" s="122">
        <f>L12+L23+L32+L40+L48+L55</f>
        <v>714629</v>
      </c>
      <c r="M11" s="123"/>
    </row>
    <row r="12" spans="1:13" s="4" customFormat="1" ht="30" customHeight="1">
      <c r="A12" s="116" t="s">
        <v>11</v>
      </c>
      <c r="B12" s="117" t="s">
        <v>81</v>
      </c>
      <c r="C12" s="117"/>
      <c r="D12" s="117"/>
      <c r="E12" s="117"/>
      <c r="F12" s="117"/>
      <c r="G12" s="117"/>
      <c r="H12" s="118" t="s">
        <v>82</v>
      </c>
      <c r="I12" s="119"/>
      <c r="J12" s="120"/>
      <c r="K12" s="121"/>
      <c r="L12" s="122">
        <f>SUM(L13:L22)</f>
        <v>161972.42000000001</v>
      </c>
      <c r="M12" s="123"/>
    </row>
    <row r="13" spans="1:13" s="4" customFormat="1" ht="39" customHeight="1" thickBot="1">
      <c r="A13" s="124" t="s">
        <v>83</v>
      </c>
      <c r="B13" s="125" t="s">
        <v>84</v>
      </c>
      <c r="C13" s="125" t="s">
        <v>85</v>
      </c>
      <c r="D13" s="125"/>
      <c r="E13" s="125" t="s">
        <v>76</v>
      </c>
      <c r="F13" s="125" t="s">
        <v>77</v>
      </c>
      <c r="G13" s="125" t="s">
        <v>78</v>
      </c>
      <c r="H13" s="126" t="s">
        <v>86</v>
      </c>
      <c r="I13" s="127" t="s">
        <v>79</v>
      </c>
      <c r="J13" s="128">
        <v>141.07</v>
      </c>
      <c r="K13" s="131">
        <v>168</v>
      </c>
      <c r="L13" s="106">
        <f t="shared" ref="L13:L21" si="0">J13*K13</f>
        <v>23699.759999999998</v>
      </c>
      <c r="M13" s="129"/>
    </row>
    <row r="14" spans="1:13" s="4" customFormat="1" ht="39" customHeight="1" thickBot="1">
      <c r="A14" s="124" t="s">
        <v>87</v>
      </c>
      <c r="B14" s="125" t="s">
        <v>88</v>
      </c>
      <c r="C14" s="125" t="s">
        <v>89</v>
      </c>
      <c r="D14" s="125"/>
      <c r="E14" s="125" t="s">
        <v>76</v>
      </c>
      <c r="F14" s="125" t="s">
        <v>77</v>
      </c>
      <c r="G14" s="125" t="s">
        <v>78</v>
      </c>
      <c r="H14" s="126" t="s">
        <v>89</v>
      </c>
      <c r="I14" s="127" t="s">
        <v>79</v>
      </c>
      <c r="J14" s="128">
        <v>198.56</v>
      </c>
      <c r="K14" s="131">
        <v>228</v>
      </c>
      <c r="L14" s="106">
        <f t="shared" si="0"/>
        <v>45271.68</v>
      </c>
      <c r="M14" s="129"/>
    </row>
    <row r="15" spans="1:13" s="4" customFormat="1" ht="39" customHeight="1" thickBot="1">
      <c r="A15" s="124" t="s">
        <v>90</v>
      </c>
      <c r="B15" s="125" t="s">
        <v>91</v>
      </c>
      <c r="C15" s="125" t="s">
        <v>92</v>
      </c>
      <c r="D15" s="125"/>
      <c r="E15" s="125" t="s">
        <v>76</v>
      </c>
      <c r="F15" s="125" t="s">
        <v>77</v>
      </c>
      <c r="G15" s="125" t="s">
        <v>78</v>
      </c>
      <c r="H15" s="126" t="s">
        <v>92</v>
      </c>
      <c r="I15" s="127" t="s">
        <v>79</v>
      </c>
      <c r="J15" s="128">
        <v>200.64</v>
      </c>
      <c r="K15" s="131">
        <v>54</v>
      </c>
      <c r="L15" s="106">
        <f t="shared" si="0"/>
        <v>10834.56</v>
      </c>
      <c r="M15" s="129"/>
    </row>
    <row r="16" spans="1:13" s="4" customFormat="1" ht="39" customHeight="1" thickBot="1">
      <c r="A16" s="124" t="s">
        <v>93</v>
      </c>
      <c r="B16" s="125" t="s">
        <v>94</v>
      </c>
      <c r="C16" s="125" t="s">
        <v>95</v>
      </c>
      <c r="D16" s="125"/>
      <c r="E16" s="125" t="s">
        <v>76</v>
      </c>
      <c r="F16" s="125" t="s">
        <v>77</v>
      </c>
      <c r="G16" s="125" t="s">
        <v>78</v>
      </c>
      <c r="H16" s="126" t="s">
        <v>95</v>
      </c>
      <c r="I16" s="127" t="s">
        <v>79</v>
      </c>
      <c r="J16" s="128">
        <v>138.99</v>
      </c>
      <c r="K16" s="131">
        <v>57.6</v>
      </c>
      <c r="L16" s="106">
        <f t="shared" si="0"/>
        <v>8005.82</v>
      </c>
      <c r="M16" s="129"/>
    </row>
    <row r="17" spans="1:13" s="4" customFormat="1" ht="39" customHeight="1" thickBot="1">
      <c r="A17" s="124" t="s">
        <v>96</v>
      </c>
      <c r="B17" s="125" t="s">
        <v>97</v>
      </c>
      <c r="C17" s="125" t="s">
        <v>98</v>
      </c>
      <c r="D17" s="125"/>
      <c r="E17" s="125" t="s">
        <v>99</v>
      </c>
      <c r="F17" s="125" t="s">
        <v>100</v>
      </c>
      <c r="G17" s="125" t="s">
        <v>78</v>
      </c>
      <c r="H17" s="126" t="s">
        <v>275</v>
      </c>
      <c r="I17" s="127" t="s">
        <v>79</v>
      </c>
      <c r="J17" s="128">
        <v>46.95</v>
      </c>
      <c r="K17" s="131">
        <v>1053</v>
      </c>
      <c r="L17" s="106">
        <f t="shared" si="0"/>
        <v>49438.35</v>
      </c>
      <c r="M17" s="129"/>
    </row>
    <row r="18" spans="1:13" s="4" customFormat="1" ht="39" customHeight="1" thickBot="1">
      <c r="A18" s="124" t="s">
        <v>101</v>
      </c>
      <c r="B18" s="125" t="s">
        <v>102</v>
      </c>
      <c r="C18" s="125" t="s">
        <v>103</v>
      </c>
      <c r="D18" s="125"/>
      <c r="E18" s="125" t="s">
        <v>99</v>
      </c>
      <c r="F18" s="125" t="s">
        <v>100</v>
      </c>
      <c r="G18" s="125" t="s">
        <v>78</v>
      </c>
      <c r="H18" s="126" t="s">
        <v>103</v>
      </c>
      <c r="I18" s="127" t="s">
        <v>79</v>
      </c>
      <c r="J18" s="128">
        <v>12.05</v>
      </c>
      <c r="K18" s="131">
        <v>1053</v>
      </c>
      <c r="L18" s="106">
        <f t="shared" si="0"/>
        <v>12688.65</v>
      </c>
      <c r="M18" s="129"/>
    </row>
    <row r="19" spans="1:13" ht="39" customHeight="1" thickBot="1">
      <c r="A19" s="124" t="s">
        <v>104</v>
      </c>
      <c r="B19" s="125" t="s">
        <v>105</v>
      </c>
      <c r="C19" s="125" t="s">
        <v>106</v>
      </c>
      <c r="D19" s="125"/>
      <c r="E19" s="125" t="s">
        <v>76</v>
      </c>
      <c r="F19" s="125" t="s">
        <v>77</v>
      </c>
      <c r="G19" s="125" t="s">
        <v>78</v>
      </c>
      <c r="H19" s="126" t="s">
        <v>106</v>
      </c>
      <c r="I19" s="127" t="s">
        <v>79</v>
      </c>
      <c r="J19" s="128">
        <v>6.8</v>
      </c>
      <c r="K19" s="131">
        <v>276</v>
      </c>
      <c r="L19" s="106">
        <f t="shared" si="0"/>
        <v>1876.8</v>
      </c>
      <c r="M19" s="129"/>
    </row>
    <row r="20" spans="1:13" s="4" customFormat="1" ht="39" customHeight="1" thickBot="1">
      <c r="A20" s="124" t="s">
        <v>107</v>
      </c>
      <c r="B20" s="125" t="s">
        <v>108</v>
      </c>
      <c r="C20" s="125" t="s">
        <v>109</v>
      </c>
      <c r="D20" s="125"/>
      <c r="E20" s="125" t="s">
        <v>76</v>
      </c>
      <c r="F20" s="125" t="s">
        <v>77</v>
      </c>
      <c r="G20" s="125" t="s">
        <v>78</v>
      </c>
      <c r="H20" s="126" t="s">
        <v>109</v>
      </c>
      <c r="I20" s="127" t="s">
        <v>110</v>
      </c>
      <c r="J20" s="128">
        <v>30</v>
      </c>
      <c r="K20" s="131">
        <v>114</v>
      </c>
      <c r="L20" s="106">
        <f t="shared" si="0"/>
        <v>3420</v>
      </c>
      <c r="M20" s="129"/>
    </row>
    <row r="21" spans="1:13" ht="39" customHeight="1" thickBot="1">
      <c r="A21" s="124" t="s">
        <v>111</v>
      </c>
      <c r="B21" s="125" t="s">
        <v>112</v>
      </c>
      <c r="C21" s="125" t="s">
        <v>113</v>
      </c>
      <c r="D21" s="125"/>
      <c r="E21" s="125" t="s">
        <v>76</v>
      </c>
      <c r="F21" s="125" t="s">
        <v>77</v>
      </c>
      <c r="G21" s="125" t="s">
        <v>78</v>
      </c>
      <c r="H21" s="126" t="s">
        <v>113</v>
      </c>
      <c r="I21" s="127" t="s">
        <v>110</v>
      </c>
      <c r="J21" s="128">
        <v>41</v>
      </c>
      <c r="K21" s="131">
        <v>132</v>
      </c>
      <c r="L21" s="106">
        <f t="shared" si="0"/>
        <v>5412</v>
      </c>
      <c r="M21" s="129"/>
    </row>
    <row r="22" spans="1:13" ht="39" customHeight="1" thickBot="1">
      <c r="A22" s="124" t="s">
        <v>260</v>
      </c>
      <c r="B22" s="125"/>
      <c r="C22" s="125"/>
      <c r="D22" s="125"/>
      <c r="E22" s="125" t="s">
        <v>76</v>
      </c>
      <c r="F22" s="125" t="s">
        <v>77</v>
      </c>
      <c r="G22" s="125" t="s">
        <v>78</v>
      </c>
      <c r="H22" s="126" t="s">
        <v>261</v>
      </c>
      <c r="I22" s="127" t="s">
        <v>262</v>
      </c>
      <c r="J22" s="128">
        <v>0.12</v>
      </c>
      <c r="K22" s="131">
        <v>11040</v>
      </c>
      <c r="L22" s="106">
        <f t="shared" ref="L22" si="1">J22*K22</f>
        <v>1324.8</v>
      </c>
      <c r="M22" s="129"/>
    </row>
    <row r="23" spans="1:13" ht="30" customHeight="1">
      <c r="A23" s="116" t="s">
        <v>13</v>
      </c>
      <c r="B23" s="117" t="s">
        <v>114</v>
      </c>
      <c r="C23" s="117"/>
      <c r="D23" s="117"/>
      <c r="E23" s="117"/>
      <c r="F23" s="117"/>
      <c r="G23" s="117"/>
      <c r="H23" s="118" t="s">
        <v>115</v>
      </c>
      <c r="I23" s="119"/>
      <c r="J23" s="120"/>
      <c r="K23" s="121"/>
      <c r="L23" s="122">
        <f>SUM(L24:L31)</f>
        <v>108211.68</v>
      </c>
      <c r="M23" s="123"/>
    </row>
    <row r="24" spans="1:13" ht="39" customHeight="1" thickBot="1">
      <c r="A24" s="124" t="s">
        <v>263</v>
      </c>
      <c r="B24" s="125" t="s">
        <v>117</v>
      </c>
      <c r="C24" s="125" t="s">
        <v>118</v>
      </c>
      <c r="D24" s="125"/>
      <c r="E24" s="125" t="s">
        <v>76</v>
      </c>
      <c r="F24" s="125" t="s">
        <v>77</v>
      </c>
      <c r="G24" s="125" t="s">
        <v>78</v>
      </c>
      <c r="H24" s="126" t="s">
        <v>118</v>
      </c>
      <c r="I24" s="127" t="s">
        <v>79</v>
      </c>
      <c r="J24" s="128">
        <v>53.28</v>
      </c>
      <c r="K24" s="131">
        <v>234</v>
      </c>
      <c r="L24" s="106">
        <f t="shared" ref="L24:L30" si="2">J24*K24</f>
        <v>12467.52</v>
      </c>
      <c r="M24" s="129"/>
    </row>
    <row r="25" spans="1:13" ht="39" customHeight="1" thickBot="1">
      <c r="A25" s="124" t="s">
        <v>116</v>
      </c>
      <c r="B25" s="125" t="s">
        <v>120</v>
      </c>
      <c r="C25" s="125" t="s">
        <v>121</v>
      </c>
      <c r="D25" s="125"/>
      <c r="E25" s="125" t="s">
        <v>76</v>
      </c>
      <c r="F25" s="125" t="s">
        <v>77</v>
      </c>
      <c r="G25" s="125" t="s">
        <v>78</v>
      </c>
      <c r="H25" s="126" t="s">
        <v>121</v>
      </c>
      <c r="I25" s="127" t="s">
        <v>79</v>
      </c>
      <c r="J25" s="128">
        <v>185.36</v>
      </c>
      <c r="K25" s="131">
        <v>198</v>
      </c>
      <c r="L25" s="106">
        <f t="shared" si="2"/>
        <v>36701.279999999999</v>
      </c>
      <c r="M25" s="129"/>
    </row>
    <row r="26" spans="1:13" s="4" customFormat="1" ht="39" customHeight="1" thickBot="1">
      <c r="A26" s="124" t="s">
        <v>119</v>
      </c>
      <c r="B26" s="125" t="s">
        <v>123</v>
      </c>
      <c r="C26" s="125" t="s">
        <v>124</v>
      </c>
      <c r="D26" s="125"/>
      <c r="E26" s="125" t="s">
        <v>76</v>
      </c>
      <c r="F26" s="125" t="s">
        <v>77</v>
      </c>
      <c r="G26" s="125" t="s">
        <v>78</v>
      </c>
      <c r="H26" s="126" t="s">
        <v>124</v>
      </c>
      <c r="I26" s="127" t="s">
        <v>79</v>
      </c>
      <c r="J26" s="128">
        <v>21.07</v>
      </c>
      <c r="K26" s="131">
        <v>342</v>
      </c>
      <c r="L26" s="106">
        <f t="shared" si="2"/>
        <v>7205.94</v>
      </c>
      <c r="M26" s="129"/>
    </row>
    <row r="27" spans="1:13" s="4" customFormat="1" ht="39" customHeight="1" thickBot="1">
      <c r="A27" s="124" t="s">
        <v>122</v>
      </c>
      <c r="B27" s="125" t="s">
        <v>126</v>
      </c>
      <c r="C27" s="125" t="s">
        <v>127</v>
      </c>
      <c r="D27" s="125"/>
      <c r="E27" s="125" t="s">
        <v>76</v>
      </c>
      <c r="F27" s="125" t="s">
        <v>77</v>
      </c>
      <c r="G27" s="125" t="s">
        <v>78</v>
      </c>
      <c r="H27" s="126" t="s">
        <v>127</v>
      </c>
      <c r="I27" s="127" t="s">
        <v>79</v>
      </c>
      <c r="J27" s="128">
        <v>7.11</v>
      </c>
      <c r="K27" s="131">
        <v>234</v>
      </c>
      <c r="L27" s="106">
        <f t="shared" si="2"/>
        <v>1663.74</v>
      </c>
      <c r="M27" s="129"/>
    </row>
    <row r="28" spans="1:13" s="4" customFormat="1" ht="39" customHeight="1" thickBot="1">
      <c r="A28" s="124" t="s">
        <v>125</v>
      </c>
      <c r="B28" s="125" t="s">
        <v>129</v>
      </c>
      <c r="C28" s="125" t="s">
        <v>130</v>
      </c>
      <c r="D28" s="125"/>
      <c r="E28" s="125" t="s">
        <v>76</v>
      </c>
      <c r="F28" s="125" t="s">
        <v>77</v>
      </c>
      <c r="G28" s="125" t="s">
        <v>78</v>
      </c>
      <c r="H28" s="126" t="s">
        <v>130</v>
      </c>
      <c r="I28" s="127" t="s">
        <v>79</v>
      </c>
      <c r="J28" s="128">
        <v>114.59</v>
      </c>
      <c r="K28" s="131">
        <v>306</v>
      </c>
      <c r="L28" s="106">
        <f t="shared" si="2"/>
        <v>35064.54</v>
      </c>
      <c r="M28" s="129"/>
    </row>
    <row r="29" spans="1:13" ht="39" customHeight="1" thickBot="1">
      <c r="A29" s="124" t="s">
        <v>128</v>
      </c>
      <c r="B29" s="125" t="s">
        <v>132</v>
      </c>
      <c r="C29" s="125" t="s">
        <v>133</v>
      </c>
      <c r="D29" s="125"/>
      <c r="E29" s="125" t="s">
        <v>99</v>
      </c>
      <c r="F29" s="125" t="s">
        <v>100</v>
      </c>
      <c r="G29" s="125" t="s">
        <v>134</v>
      </c>
      <c r="H29" s="126" t="s">
        <v>264</v>
      </c>
      <c r="I29" s="127" t="s">
        <v>79</v>
      </c>
      <c r="J29" s="128">
        <v>12.34</v>
      </c>
      <c r="K29" s="131">
        <v>945</v>
      </c>
      <c r="L29" s="106">
        <f t="shared" si="2"/>
        <v>11661.3</v>
      </c>
      <c r="M29" s="129"/>
    </row>
    <row r="30" spans="1:13" ht="39" customHeight="1" thickBot="1">
      <c r="A30" s="124" t="s">
        <v>131</v>
      </c>
      <c r="B30" s="125" t="s">
        <v>136</v>
      </c>
      <c r="C30" s="125" t="s">
        <v>137</v>
      </c>
      <c r="D30" s="125"/>
      <c r="E30" s="125" t="s">
        <v>99</v>
      </c>
      <c r="F30" s="125" t="s">
        <v>100</v>
      </c>
      <c r="G30" s="125" t="s">
        <v>134</v>
      </c>
      <c r="H30" s="126" t="s">
        <v>137</v>
      </c>
      <c r="I30" s="127" t="s">
        <v>138</v>
      </c>
      <c r="J30" s="128">
        <v>2</v>
      </c>
      <c r="K30" s="131">
        <v>819</v>
      </c>
      <c r="L30" s="106">
        <f t="shared" si="2"/>
        <v>1638</v>
      </c>
      <c r="M30" s="129"/>
    </row>
    <row r="31" spans="1:13" ht="39" customHeight="1" thickBot="1">
      <c r="A31" s="124" t="s">
        <v>135</v>
      </c>
      <c r="B31" s="125"/>
      <c r="C31" s="125"/>
      <c r="D31" s="125"/>
      <c r="E31" s="125" t="s">
        <v>76</v>
      </c>
      <c r="F31" s="125" t="s">
        <v>77</v>
      </c>
      <c r="G31" s="125" t="s">
        <v>78</v>
      </c>
      <c r="H31" s="126" t="s">
        <v>259</v>
      </c>
      <c r="I31" s="127" t="s">
        <v>79</v>
      </c>
      <c r="J31" s="128">
        <v>43.08</v>
      </c>
      <c r="K31" s="131">
        <v>42</v>
      </c>
      <c r="L31" s="106">
        <f t="shared" ref="L31" si="3">J31*K31</f>
        <v>1809.36</v>
      </c>
      <c r="M31" s="129"/>
    </row>
    <row r="32" spans="1:13" ht="30" customHeight="1">
      <c r="A32" s="116" t="s">
        <v>15</v>
      </c>
      <c r="B32" s="117" t="s">
        <v>139</v>
      </c>
      <c r="C32" s="117"/>
      <c r="D32" s="117"/>
      <c r="E32" s="117"/>
      <c r="F32" s="117"/>
      <c r="G32" s="117"/>
      <c r="H32" s="118" t="s">
        <v>140</v>
      </c>
      <c r="I32" s="119"/>
      <c r="J32" s="120"/>
      <c r="K32" s="121"/>
      <c r="L32" s="122">
        <f>SUM(L33:L39)</f>
        <v>131288.63</v>
      </c>
      <c r="M32" s="123"/>
    </row>
    <row r="33" spans="1:13" ht="39" customHeight="1" thickBot="1">
      <c r="A33" s="124" t="s">
        <v>141</v>
      </c>
      <c r="B33" s="125" t="s">
        <v>142</v>
      </c>
      <c r="C33" s="125" t="s">
        <v>143</v>
      </c>
      <c r="D33" s="125"/>
      <c r="E33" s="125" t="s">
        <v>99</v>
      </c>
      <c r="F33" s="125" t="s">
        <v>100</v>
      </c>
      <c r="G33" s="125" t="s">
        <v>134</v>
      </c>
      <c r="H33" s="126" t="s">
        <v>143</v>
      </c>
      <c r="I33" s="127" t="s">
        <v>79</v>
      </c>
      <c r="J33" s="128">
        <v>23.63</v>
      </c>
      <c r="K33" s="131">
        <v>567</v>
      </c>
      <c r="L33" s="106">
        <f t="shared" ref="L33:L39" si="4">J33*K33</f>
        <v>13398.21</v>
      </c>
      <c r="M33" s="129"/>
    </row>
    <row r="34" spans="1:13" ht="39" customHeight="1" thickBot="1">
      <c r="A34" s="124" t="s">
        <v>144</v>
      </c>
      <c r="B34" s="125" t="s">
        <v>145</v>
      </c>
      <c r="C34" s="125" t="s">
        <v>146</v>
      </c>
      <c r="D34" s="125"/>
      <c r="E34" s="125" t="s">
        <v>99</v>
      </c>
      <c r="F34" s="125" t="s">
        <v>100</v>
      </c>
      <c r="G34" s="125" t="s">
        <v>78</v>
      </c>
      <c r="H34" s="126" t="s">
        <v>272</v>
      </c>
      <c r="I34" s="127" t="s">
        <v>79</v>
      </c>
      <c r="J34" s="128">
        <v>40.75</v>
      </c>
      <c r="K34" s="131">
        <v>1053</v>
      </c>
      <c r="L34" s="106">
        <f t="shared" si="4"/>
        <v>42909.75</v>
      </c>
      <c r="M34" s="129"/>
    </row>
    <row r="35" spans="1:13" ht="39" customHeight="1" thickBot="1">
      <c r="A35" s="124" t="s">
        <v>147</v>
      </c>
      <c r="B35" s="125" t="s">
        <v>148</v>
      </c>
      <c r="C35" s="125" t="s">
        <v>149</v>
      </c>
      <c r="D35" s="125"/>
      <c r="E35" s="125" t="s">
        <v>99</v>
      </c>
      <c r="F35" s="125" t="s">
        <v>100</v>
      </c>
      <c r="G35" s="125" t="s">
        <v>134</v>
      </c>
      <c r="H35" s="126" t="s">
        <v>149</v>
      </c>
      <c r="I35" s="127" t="s">
        <v>79</v>
      </c>
      <c r="J35" s="128">
        <v>137.32</v>
      </c>
      <c r="K35" s="131">
        <v>130.51</v>
      </c>
      <c r="L35" s="106">
        <f t="shared" si="4"/>
        <v>17921.63</v>
      </c>
      <c r="M35" s="132" t="s">
        <v>271</v>
      </c>
    </row>
    <row r="36" spans="1:13" ht="39" customHeight="1" thickBot="1">
      <c r="A36" s="124" t="s">
        <v>150</v>
      </c>
      <c r="B36" s="125" t="s">
        <v>151</v>
      </c>
      <c r="C36" s="125" t="s">
        <v>152</v>
      </c>
      <c r="D36" s="125"/>
      <c r="E36" s="125" t="s">
        <v>99</v>
      </c>
      <c r="F36" s="125" t="s">
        <v>100</v>
      </c>
      <c r="G36" s="125" t="s">
        <v>78</v>
      </c>
      <c r="H36" s="126" t="s">
        <v>152</v>
      </c>
      <c r="I36" s="127" t="s">
        <v>79</v>
      </c>
      <c r="J36" s="128">
        <v>114.31</v>
      </c>
      <c r="K36" s="131">
        <v>254.11</v>
      </c>
      <c r="L36" s="106">
        <f t="shared" si="4"/>
        <v>29047.31</v>
      </c>
      <c r="M36" s="129"/>
    </row>
    <row r="37" spans="1:13" ht="39" customHeight="1" thickBot="1">
      <c r="A37" s="124" t="s">
        <v>153</v>
      </c>
      <c r="B37" s="125" t="s">
        <v>154</v>
      </c>
      <c r="C37" s="125" t="s">
        <v>155</v>
      </c>
      <c r="D37" s="125"/>
      <c r="E37" s="125" t="s">
        <v>99</v>
      </c>
      <c r="F37" s="125" t="s">
        <v>100</v>
      </c>
      <c r="G37" s="125" t="s">
        <v>78</v>
      </c>
      <c r="H37" s="126" t="s">
        <v>155</v>
      </c>
      <c r="I37" s="127" t="s">
        <v>79</v>
      </c>
      <c r="J37" s="128">
        <v>31.16</v>
      </c>
      <c r="K37" s="131">
        <v>322.51</v>
      </c>
      <c r="L37" s="106">
        <f t="shared" si="4"/>
        <v>10049.41</v>
      </c>
      <c r="M37" s="129"/>
    </row>
    <row r="38" spans="1:13" ht="39" customHeight="1" thickBot="1">
      <c r="A38" s="124" t="s">
        <v>156</v>
      </c>
      <c r="B38" s="125" t="s">
        <v>157</v>
      </c>
      <c r="C38" s="125" t="s">
        <v>158</v>
      </c>
      <c r="D38" s="125"/>
      <c r="E38" s="125" t="s">
        <v>76</v>
      </c>
      <c r="F38" s="125" t="s">
        <v>77</v>
      </c>
      <c r="G38" s="125" t="s">
        <v>78</v>
      </c>
      <c r="H38" s="126" t="s">
        <v>158</v>
      </c>
      <c r="I38" s="127" t="s">
        <v>79</v>
      </c>
      <c r="J38" s="128">
        <v>200</v>
      </c>
      <c r="K38" s="131">
        <v>54</v>
      </c>
      <c r="L38" s="106">
        <f t="shared" si="4"/>
        <v>10800</v>
      </c>
      <c r="M38" s="129"/>
    </row>
    <row r="39" spans="1:13" ht="39" customHeight="1" thickBot="1">
      <c r="A39" s="124" t="s">
        <v>159</v>
      </c>
      <c r="B39" s="125" t="s">
        <v>160</v>
      </c>
      <c r="C39" s="125" t="s">
        <v>161</v>
      </c>
      <c r="D39" s="125"/>
      <c r="E39" s="125" t="s">
        <v>76</v>
      </c>
      <c r="F39" s="125" t="s">
        <v>77</v>
      </c>
      <c r="G39" s="125" t="s">
        <v>78</v>
      </c>
      <c r="H39" s="126" t="s">
        <v>161</v>
      </c>
      <c r="I39" s="127" t="s">
        <v>110</v>
      </c>
      <c r="J39" s="128">
        <v>108.52</v>
      </c>
      <c r="K39" s="131">
        <v>66</v>
      </c>
      <c r="L39" s="106">
        <f t="shared" si="4"/>
        <v>7162.32</v>
      </c>
      <c r="M39" s="129"/>
    </row>
    <row r="40" spans="1:13" ht="30" customHeight="1">
      <c r="A40" s="116" t="s">
        <v>17</v>
      </c>
      <c r="B40" s="117" t="s">
        <v>162</v>
      </c>
      <c r="C40" s="117"/>
      <c r="D40" s="117"/>
      <c r="E40" s="117"/>
      <c r="F40" s="117"/>
      <c r="G40" s="117"/>
      <c r="H40" s="118" t="s">
        <v>163</v>
      </c>
      <c r="I40" s="119"/>
      <c r="J40" s="120"/>
      <c r="K40" s="121"/>
      <c r="L40" s="122">
        <f>SUM(L41:L47)</f>
        <v>190012.59</v>
      </c>
      <c r="M40" s="123"/>
    </row>
    <row r="41" spans="1:13" ht="39" customHeight="1" thickBot="1">
      <c r="A41" s="124" t="s">
        <v>164</v>
      </c>
      <c r="B41" s="125" t="s">
        <v>165</v>
      </c>
      <c r="C41" s="125" t="s">
        <v>166</v>
      </c>
      <c r="D41" s="125"/>
      <c r="E41" s="125" t="s">
        <v>99</v>
      </c>
      <c r="F41" s="125" t="s">
        <v>100</v>
      </c>
      <c r="G41" s="125" t="s">
        <v>78</v>
      </c>
      <c r="H41" s="126" t="s">
        <v>166</v>
      </c>
      <c r="I41" s="127" t="s">
        <v>79</v>
      </c>
      <c r="J41" s="128">
        <v>262.29000000000002</v>
      </c>
      <c r="K41" s="131">
        <v>532.79999999999995</v>
      </c>
      <c r="L41" s="106">
        <f t="shared" ref="L41:L47" si="5">J41*K41</f>
        <v>139748.10999999999</v>
      </c>
      <c r="M41" s="129"/>
    </row>
    <row r="42" spans="1:13" ht="39" customHeight="1" thickBot="1">
      <c r="A42" s="124" t="s">
        <v>167</v>
      </c>
      <c r="B42" s="125" t="s">
        <v>168</v>
      </c>
      <c r="C42" s="125" t="s">
        <v>169</v>
      </c>
      <c r="D42" s="125"/>
      <c r="E42" s="125" t="s">
        <v>76</v>
      </c>
      <c r="F42" s="125" t="s">
        <v>77</v>
      </c>
      <c r="G42" s="125" t="s">
        <v>78</v>
      </c>
      <c r="H42" s="126" t="s">
        <v>270</v>
      </c>
      <c r="I42" s="127" t="s">
        <v>79</v>
      </c>
      <c r="J42" s="128">
        <v>262.29000000000002</v>
      </c>
      <c r="K42" s="131">
        <v>72</v>
      </c>
      <c r="L42" s="106">
        <f t="shared" si="5"/>
        <v>18884.88</v>
      </c>
      <c r="M42" s="129"/>
    </row>
    <row r="43" spans="1:13" ht="39" customHeight="1" thickBot="1">
      <c r="A43" s="124" t="s">
        <v>170</v>
      </c>
      <c r="B43" s="125" t="s">
        <v>171</v>
      </c>
      <c r="C43" s="125" t="s">
        <v>172</v>
      </c>
      <c r="D43" s="125"/>
      <c r="E43" s="125" t="s">
        <v>99</v>
      </c>
      <c r="F43" s="125" t="s">
        <v>100</v>
      </c>
      <c r="G43" s="125" t="s">
        <v>134</v>
      </c>
      <c r="H43" s="126" t="s">
        <v>172</v>
      </c>
      <c r="I43" s="127" t="s">
        <v>79</v>
      </c>
      <c r="J43" s="128">
        <v>90.16</v>
      </c>
      <c r="K43" s="131">
        <v>231.91</v>
      </c>
      <c r="L43" s="106">
        <f t="shared" si="5"/>
        <v>20909.009999999998</v>
      </c>
      <c r="M43" s="129"/>
    </row>
    <row r="44" spans="1:13" ht="39" customHeight="1" thickBot="1">
      <c r="A44" s="124" t="s">
        <v>173</v>
      </c>
      <c r="B44" s="125" t="s">
        <v>174</v>
      </c>
      <c r="C44" s="125" t="s">
        <v>175</v>
      </c>
      <c r="D44" s="125"/>
      <c r="E44" s="125" t="s">
        <v>99</v>
      </c>
      <c r="F44" s="125" t="s">
        <v>100</v>
      </c>
      <c r="G44" s="125" t="s">
        <v>78</v>
      </c>
      <c r="H44" s="126" t="s">
        <v>175</v>
      </c>
      <c r="I44" s="127" t="s">
        <v>79</v>
      </c>
      <c r="J44" s="128">
        <v>9.2799999999999994</v>
      </c>
      <c r="K44" s="131">
        <v>369.6</v>
      </c>
      <c r="L44" s="106">
        <f t="shared" si="5"/>
        <v>3429.89</v>
      </c>
      <c r="M44" s="129"/>
    </row>
    <row r="45" spans="1:13" ht="39" customHeight="1" thickBot="1">
      <c r="A45" s="124" t="s">
        <v>176</v>
      </c>
      <c r="B45" s="125" t="s">
        <v>177</v>
      </c>
      <c r="C45" s="125" t="s">
        <v>178</v>
      </c>
      <c r="D45" s="125"/>
      <c r="E45" s="125" t="s">
        <v>76</v>
      </c>
      <c r="F45" s="125" t="s">
        <v>77</v>
      </c>
      <c r="G45" s="125" t="s">
        <v>78</v>
      </c>
      <c r="H45" s="126" t="s">
        <v>178</v>
      </c>
      <c r="I45" s="127" t="s">
        <v>110</v>
      </c>
      <c r="J45" s="128">
        <v>7.5</v>
      </c>
      <c r="K45" s="131">
        <v>36</v>
      </c>
      <c r="L45" s="106">
        <f t="shared" si="5"/>
        <v>270</v>
      </c>
      <c r="M45" s="129"/>
    </row>
    <row r="46" spans="1:13" ht="39" customHeight="1" thickBot="1">
      <c r="A46" s="124" t="s">
        <v>179</v>
      </c>
      <c r="B46" s="125" t="s">
        <v>180</v>
      </c>
      <c r="C46" s="125" t="s">
        <v>181</v>
      </c>
      <c r="D46" s="125"/>
      <c r="E46" s="125" t="s">
        <v>76</v>
      </c>
      <c r="F46" s="125" t="s">
        <v>77</v>
      </c>
      <c r="G46" s="125" t="s">
        <v>78</v>
      </c>
      <c r="H46" s="126" t="s">
        <v>181</v>
      </c>
      <c r="I46" s="127" t="s">
        <v>110</v>
      </c>
      <c r="J46" s="128">
        <v>29.53</v>
      </c>
      <c r="K46" s="131">
        <v>114</v>
      </c>
      <c r="L46" s="106">
        <f t="shared" si="5"/>
        <v>3366.42</v>
      </c>
      <c r="M46" s="129"/>
    </row>
    <row r="47" spans="1:13" ht="39" customHeight="1" thickBot="1">
      <c r="A47" s="124" t="s">
        <v>182</v>
      </c>
      <c r="B47" s="125" t="s">
        <v>183</v>
      </c>
      <c r="C47" s="125" t="s">
        <v>184</v>
      </c>
      <c r="D47" s="125"/>
      <c r="E47" s="125" t="s">
        <v>76</v>
      </c>
      <c r="F47" s="125" t="s">
        <v>77</v>
      </c>
      <c r="G47" s="125" t="s">
        <v>78</v>
      </c>
      <c r="H47" s="126" t="s">
        <v>184</v>
      </c>
      <c r="I47" s="127" t="s">
        <v>110</v>
      </c>
      <c r="J47" s="128">
        <v>25.79</v>
      </c>
      <c r="K47" s="131">
        <v>132</v>
      </c>
      <c r="L47" s="106">
        <f t="shared" si="5"/>
        <v>3404.28</v>
      </c>
      <c r="M47" s="129"/>
    </row>
    <row r="48" spans="1:13" ht="30" customHeight="1">
      <c r="A48" s="116" t="s">
        <v>19</v>
      </c>
      <c r="B48" s="117" t="s">
        <v>185</v>
      </c>
      <c r="C48" s="117"/>
      <c r="D48" s="117"/>
      <c r="E48" s="117"/>
      <c r="F48" s="117"/>
      <c r="G48" s="117"/>
      <c r="H48" s="118" t="s">
        <v>186</v>
      </c>
      <c r="I48" s="119"/>
      <c r="J48" s="120"/>
      <c r="K48" s="121"/>
      <c r="L48" s="122">
        <f>SUM(L49:L54)</f>
        <v>72141.64</v>
      </c>
      <c r="M48" s="123"/>
    </row>
    <row r="49" spans="1:13" ht="39" customHeight="1" thickBot="1">
      <c r="A49" s="124" t="s">
        <v>187</v>
      </c>
      <c r="B49" s="125" t="s">
        <v>188</v>
      </c>
      <c r="C49" s="125" t="s">
        <v>189</v>
      </c>
      <c r="D49" s="125"/>
      <c r="E49" s="125" t="s">
        <v>76</v>
      </c>
      <c r="F49" s="125" t="s">
        <v>77</v>
      </c>
      <c r="G49" s="125" t="s">
        <v>78</v>
      </c>
      <c r="H49" s="126" t="s">
        <v>189</v>
      </c>
      <c r="I49" s="127" t="s">
        <v>190</v>
      </c>
      <c r="J49" s="128">
        <v>1</v>
      </c>
      <c r="K49" s="131">
        <v>480</v>
      </c>
      <c r="L49" s="106">
        <f t="shared" ref="L49:L54" si="6">J49*K49</f>
        <v>480</v>
      </c>
      <c r="M49" s="129" t="s">
        <v>265</v>
      </c>
    </row>
    <row r="50" spans="1:13" ht="39" customHeight="1" thickBot="1">
      <c r="A50" s="124" t="s">
        <v>191</v>
      </c>
      <c r="B50" s="125" t="s">
        <v>192</v>
      </c>
      <c r="C50" s="125" t="s">
        <v>193</v>
      </c>
      <c r="D50" s="125"/>
      <c r="E50" s="125" t="s">
        <v>76</v>
      </c>
      <c r="F50" s="125" t="s">
        <v>77</v>
      </c>
      <c r="G50" s="125" t="s">
        <v>78</v>
      </c>
      <c r="H50" s="126" t="s">
        <v>193</v>
      </c>
      <c r="I50" s="127" t="s">
        <v>190</v>
      </c>
      <c r="J50" s="128">
        <v>1</v>
      </c>
      <c r="K50" s="131">
        <v>25200</v>
      </c>
      <c r="L50" s="106">
        <f t="shared" si="6"/>
        <v>25200</v>
      </c>
      <c r="M50" s="129"/>
    </row>
    <row r="51" spans="1:13" ht="39" customHeight="1" thickBot="1">
      <c r="A51" s="124" t="s">
        <v>194</v>
      </c>
      <c r="B51" s="125" t="s">
        <v>195</v>
      </c>
      <c r="C51" s="125" t="s">
        <v>196</v>
      </c>
      <c r="D51" s="125"/>
      <c r="E51" s="125" t="s">
        <v>99</v>
      </c>
      <c r="F51" s="125" t="s">
        <v>100</v>
      </c>
      <c r="G51" s="125" t="s">
        <v>78</v>
      </c>
      <c r="H51" s="126" t="s">
        <v>197</v>
      </c>
      <c r="I51" s="127" t="s">
        <v>190</v>
      </c>
      <c r="J51" s="128">
        <v>1</v>
      </c>
      <c r="K51" s="131">
        <v>3369.6</v>
      </c>
      <c r="L51" s="106">
        <f t="shared" si="6"/>
        <v>3369.6</v>
      </c>
      <c r="M51" s="129"/>
    </row>
    <row r="52" spans="1:13" ht="39" customHeight="1" thickBot="1">
      <c r="A52" s="124" t="s">
        <v>198</v>
      </c>
      <c r="B52" s="125" t="s">
        <v>199</v>
      </c>
      <c r="C52" s="125" t="s">
        <v>200</v>
      </c>
      <c r="D52" s="125"/>
      <c r="E52" s="125" t="s">
        <v>99</v>
      </c>
      <c r="F52" s="125" t="s">
        <v>100</v>
      </c>
      <c r="G52" s="125" t="s">
        <v>134</v>
      </c>
      <c r="H52" s="126" t="s">
        <v>200</v>
      </c>
      <c r="I52" s="127" t="s">
        <v>190</v>
      </c>
      <c r="J52" s="128">
        <v>3</v>
      </c>
      <c r="K52" s="131">
        <v>6930</v>
      </c>
      <c r="L52" s="106">
        <f t="shared" si="6"/>
        <v>20790</v>
      </c>
      <c r="M52" s="129"/>
    </row>
    <row r="53" spans="1:13" ht="39" customHeight="1" thickBot="1">
      <c r="A53" s="124" t="s">
        <v>201</v>
      </c>
      <c r="B53" s="125" t="s">
        <v>199</v>
      </c>
      <c r="C53" s="125" t="s">
        <v>200</v>
      </c>
      <c r="D53" s="125"/>
      <c r="E53" s="125" t="s">
        <v>99</v>
      </c>
      <c r="F53" s="125" t="s">
        <v>100</v>
      </c>
      <c r="G53" s="125" t="s">
        <v>134</v>
      </c>
      <c r="H53" s="126" t="s">
        <v>269</v>
      </c>
      <c r="I53" s="127" t="s">
        <v>190</v>
      </c>
      <c r="J53" s="128">
        <v>4</v>
      </c>
      <c r="K53" s="131">
        <v>5008.51</v>
      </c>
      <c r="L53" s="106">
        <f t="shared" ref="L53" si="7">J53*K53</f>
        <v>20034.04</v>
      </c>
      <c r="M53" s="129"/>
    </row>
    <row r="54" spans="1:13" ht="39" customHeight="1" thickBot="1">
      <c r="A54" s="124" t="s">
        <v>268</v>
      </c>
      <c r="B54" s="125" t="s">
        <v>202</v>
      </c>
      <c r="C54" s="125" t="s">
        <v>203</v>
      </c>
      <c r="D54" s="125"/>
      <c r="E54" s="125" t="s">
        <v>99</v>
      </c>
      <c r="F54" s="125" t="s">
        <v>100</v>
      </c>
      <c r="G54" s="125" t="s">
        <v>78</v>
      </c>
      <c r="H54" s="126" t="s">
        <v>203</v>
      </c>
      <c r="I54" s="127" t="s">
        <v>190</v>
      </c>
      <c r="J54" s="128">
        <v>1</v>
      </c>
      <c r="K54" s="131">
        <v>2268</v>
      </c>
      <c r="L54" s="106">
        <f t="shared" si="6"/>
        <v>2268</v>
      </c>
      <c r="M54" s="129"/>
    </row>
    <row r="55" spans="1:13" s="5" customFormat="1" ht="30" customHeight="1">
      <c r="A55" s="116" t="s">
        <v>21</v>
      </c>
      <c r="B55" s="117" t="s">
        <v>204</v>
      </c>
      <c r="C55" s="117"/>
      <c r="D55" s="117"/>
      <c r="E55" s="117"/>
      <c r="F55" s="117"/>
      <c r="G55" s="117"/>
      <c r="H55" s="118" t="s">
        <v>205</v>
      </c>
      <c r="I55" s="119"/>
      <c r="J55" s="120"/>
      <c r="K55" s="121"/>
      <c r="L55" s="122">
        <f>SUM(L56:L59)</f>
        <v>51002.04</v>
      </c>
      <c r="M55" s="123"/>
    </row>
    <row r="56" spans="1:13" s="5" customFormat="1" ht="39" customHeight="1" thickBot="1">
      <c r="A56" s="124" t="s">
        <v>266</v>
      </c>
      <c r="B56" s="125" t="s">
        <v>207</v>
      </c>
      <c r="C56" s="125" t="s">
        <v>208</v>
      </c>
      <c r="D56" s="125"/>
      <c r="E56" s="125" t="s">
        <v>99</v>
      </c>
      <c r="F56" s="125" t="s">
        <v>100</v>
      </c>
      <c r="G56" s="125" t="s">
        <v>134</v>
      </c>
      <c r="H56" s="126" t="s">
        <v>267</v>
      </c>
      <c r="I56" s="127" t="s">
        <v>79</v>
      </c>
      <c r="J56" s="128">
        <v>3.35</v>
      </c>
      <c r="K56" s="131">
        <v>2092.71</v>
      </c>
      <c r="L56" s="106">
        <f t="shared" ref="L56:L59" si="8">J56*K56</f>
        <v>7010.58</v>
      </c>
      <c r="M56" s="129"/>
    </row>
    <row r="57" spans="1:13" s="5" customFormat="1" ht="39" customHeight="1" thickBot="1">
      <c r="A57" s="124" t="s">
        <v>206</v>
      </c>
      <c r="B57" s="125" t="s">
        <v>210</v>
      </c>
      <c r="C57" s="125" t="s">
        <v>211</v>
      </c>
      <c r="D57" s="125"/>
      <c r="E57" s="125" t="s">
        <v>99</v>
      </c>
      <c r="F57" s="125" t="s">
        <v>100</v>
      </c>
      <c r="G57" s="125" t="s">
        <v>78</v>
      </c>
      <c r="H57" s="126" t="s">
        <v>212</v>
      </c>
      <c r="I57" s="127" t="s">
        <v>110</v>
      </c>
      <c r="J57" s="128">
        <v>3.75</v>
      </c>
      <c r="K57" s="131">
        <v>4668</v>
      </c>
      <c r="L57" s="106">
        <f t="shared" si="8"/>
        <v>17505</v>
      </c>
      <c r="M57" s="129"/>
    </row>
    <row r="58" spans="1:13" s="5" customFormat="1" ht="39" customHeight="1" thickBot="1">
      <c r="A58" s="124" t="s">
        <v>209</v>
      </c>
      <c r="B58" s="125" t="s">
        <v>214</v>
      </c>
      <c r="C58" s="125" t="s">
        <v>215</v>
      </c>
      <c r="D58" s="125"/>
      <c r="E58" s="125" t="s">
        <v>99</v>
      </c>
      <c r="F58" s="125" t="s">
        <v>100</v>
      </c>
      <c r="G58" s="125" t="s">
        <v>134</v>
      </c>
      <c r="H58" s="126" t="s">
        <v>216</v>
      </c>
      <c r="I58" s="127" t="s">
        <v>110</v>
      </c>
      <c r="J58" s="128">
        <v>8.58</v>
      </c>
      <c r="K58" s="131">
        <v>1386</v>
      </c>
      <c r="L58" s="106">
        <f t="shared" si="8"/>
        <v>11891.88</v>
      </c>
      <c r="M58" s="129"/>
    </row>
    <row r="59" spans="1:13" s="6" customFormat="1" ht="39" customHeight="1" thickBot="1">
      <c r="A59" s="124" t="s">
        <v>213</v>
      </c>
      <c r="B59" s="125" t="s">
        <v>217</v>
      </c>
      <c r="C59" s="125" t="s">
        <v>218</v>
      </c>
      <c r="D59" s="125"/>
      <c r="E59" s="125" t="s">
        <v>99</v>
      </c>
      <c r="F59" s="125" t="s">
        <v>100</v>
      </c>
      <c r="G59" s="125" t="s">
        <v>134</v>
      </c>
      <c r="H59" s="126" t="s">
        <v>219</v>
      </c>
      <c r="I59" s="127" t="s">
        <v>110</v>
      </c>
      <c r="J59" s="128">
        <v>8.58</v>
      </c>
      <c r="K59" s="131">
        <v>1701</v>
      </c>
      <c r="L59" s="106">
        <f t="shared" si="8"/>
        <v>14594.58</v>
      </c>
      <c r="M59" s="129"/>
    </row>
    <row r="60" spans="1:13" s="5" customFormat="1" ht="30" customHeight="1">
      <c r="A60" s="116" t="s">
        <v>23</v>
      </c>
      <c r="B60" s="117" t="s">
        <v>220</v>
      </c>
      <c r="C60" s="117"/>
      <c r="D60" s="117"/>
      <c r="E60" s="117"/>
      <c r="F60" s="117"/>
      <c r="G60" s="117"/>
      <c r="H60" s="118" t="s">
        <v>24</v>
      </c>
      <c r="I60" s="119"/>
      <c r="J60" s="120"/>
      <c r="K60" s="121"/>
      <c r="L60" s="122">
        <f>SUM(L61:L61)</f>
        <v>154080</v>
      </c>
      <c r="M60" s="123"/>
    </row>
    <row r="61" spans="1:13" s="5" customFormat="1" ht="39" customHeight="1" thickBot="1">
      <c r="A61" s="124" t="s">
        <v>221</v>
      </c>
      <c r="B61" s="125" t="s">
        <v>222</v>
      </c>
      <c r="C61" s="125" t="s">
        <v>24</v>
      </c>
      <c r="D61" s="125"/>
      <c r="E61" s="125" t="s">
        <v>76</v>
      </c>
      <c r="F61" s="125" t="s">
        <v>77</v>
      </c>
      <c r="G61" s="125" t="s">
        <v>78</v>
      </c>
      <c r="H61" s="126" t="s">
        <v>24</v>
      </c>
      <c r="I61" s="127" t="s">
        <v>79</v>
      </c>
      <c r="J61" s="128">
        <v>480</v>
      </c>
      <c r="K61" s="131">
        <v>321</v>
      </c>
      <c r="L61" s="106">
        <f>J61*K61</f>
        <v>154080</v>
      </c>
      <c r="M61" s="129"/>
    </row>
    <row r="62" spans="1:13" s="5" customFormat="1" ht="30" customHeight="1">
      <c r="A62" s="116" t="s">
        <v>25</v>
      </c>
      <c r="B62" s="117" t="s">
        <v>223</v>
      </c>
      <c r="C62" s="117"/>
      <c r="D62" s="117"/>
      <c r="E62" s="117"/>
      <c r="F62" s="117"/>
      <c r="G62" s="117"/>
      <c r="H62" s="118" t="s">
        <v>26</v>
      </c>
      <c r="I62" s="119"/>
      <c r="J62" s="120"/>
      <c r="K62" s="121"/>
      <c r="L62" s="122">
        <f>SUM(L63:L64)</f>
        <v>143860.79999999999</v>
      </c>
      <c r="M62" s="123"/>
    </row>
    <row r="63" spans="1:13" s="5" customFormat="1" ht="39" customHeight="1" thickBot="1">
      <c r="A63" s="124" t="s">
        <v>224</v>
      </c>
      <c r="B63" s="125" t="s">
        <v>225</v>
      </c>
      <c r="C63" s="125" t="s">
        <v>226</v>
      </c>
      <c r="D63" s="125"/>
      <c r="E63" s="125" t="s">
        <v>76</v>
      </c>
      <c r="F63" s="125" t="s">
        <v>77</v>
      </c>
      <c r="G63" s="125" t="s">
        <v>78</v>
      </c>
      <c r="H63" s="126" t="s">
        <v>226</v>
      </c>
      <c r="I63" s="127" t="s">
        <v>79</v>
      </c>
      <c r="J63" s="128">
        <v>480</v>
      </c>
      <c r="K63" s="131">
        <v>123.31</v>
      </c>
      <c r="L63" s="106">
        <f t="shared" ref="L63:L64" si="9">J63*K63</f>
        <v>59188.800000000003</v>
      </c>
      <c r="M63" s="129"/>
    </row>
    <row r="64" spans="1:13" s="5" customFormat="1" ht="39" customHeight="1" thickBot="1">
      <c r="A64" s="124" t="s">
        <v>227</v>
      </c>
      <c r="B64" s="125" t="s">
        <v>228</v>
      </c>
      <c r="C64" s="125" t="s">
        <v>229</v>
      </c>
      <c r="D64" s="125"/>
      <c r="E64" s="125" t="s">
        <v>76</v>
      </c>
      <c r="F64" s="125" t="s">
        <v>77</v>
      </c>
      <c r="G64" s="125" t="s">
        <v>78</v>
      </c>
      <c r="H64" s="126" t="s">
        <v>229</v>
      </c>
      <c r="I64" s="127" t="s">
        <v>79</v>
      </c>
      <c r="J64" s="128">
        <v>480</v>
      </c>
      <c r="K64" s="131">
        <v>176.4</v>
      </c>
      <c r="L64" s="106">
        <f t="shared" si="9"/>
        <v>84672</v>
      </c>
      <c r="M64" s="129"/>
    </row>
    <row r="65" spans="1:13" s="5" customFormat="1" ht="30" customHeight="1">
      <c r="A65" s="116" t="s">
        <v>27</v>
      </c>
      <c r="B65" s="117" t="s">
        <v>230</v>
      </c>
      <c r="C65" s="117"/>
      <c r="D65" s="117"/>
      <c r="E65" s="117"/>
      <c r="F65" s="117"/>
      <c r="G65" s="117"/>
      <c r="H65" s="118" t="s">
        <v>28</v>
      </c>
      <c r="I65" s="119"/>
      <c r="J65" s="120"/>
      <c r="K65" s="121"/>
      <c r="L65" s="122">
        <f>SUM(L66:L66)</f>
        <v>46080</v>
      </c>
      <c r="M65" s="123"/>
    </row>
    <row r="66" spans="1:13" ht="39" customHeight="1" thickBot="1">
      <c r="A66" s="124" t="s">
        <v>231</v>
      </c>
      <c r="B66" s="125" t="s">
        <v>232</v>
      </c>
      <c r="C66" s="125" t="s">
        <v>28</v>
      </c>
      <c r="D66" s="125"/>
      <c r="E66" s="125" t="s">
        <v>76</v>
      </c>
      <c r="F66" s="125" t="s">
        <v>77</v>
      </c>
      <c r="G66" s="125" t="s">
        <v>78</v>
      </c>
      <c r="H66" s="126" t="s">
        <v>273</v>
      </c>
      <c r="I66" s="127" t="s">
        <v>79</v>
      </c>
      <c r="J66" s="128">
        <v>480</v>
      </c>
      <c r="K66" s="131">
        <v>96</v>
      </c>
      <c r="L66" s="106">
        <f>J66*K66</f>
        <v>46080</v>
      </c>
      <c r="M66" s="129"/>
    </row>
    <row r="67" spans="1:13" s="5" customFormat="1" ht="30" customHeight="1">
      <c r="A67" s="116" t="s">
        <v>29</v>
      </c>
      <c r="B67" s="117" t="s">
        <v>233</v>
      </c>
      <c r="C67" s="117"/>
      <c r="D67" s="117"/>
      <c r="E67" s="117"/>
      <c r="F67" s="117"/>
      <c r="G67" s="117"/>
      <c r="H67" s="118" t="s">
        <v>30</v>
      </c>
      <c r="I67" s="119"/>
      <c r="J67" s="120"/>
      <c r="K67" s="121"/>
      <c r="L67" s="122">
        <f>SUM(L68:L68)</f>
        <v>48960</v>
      </c>
      <c r="M67" s="123"/>
    </row>
    <row r="68" spans="1:13" s="5" customFormat="1" ht="39" customHeight="1" thickBot="1">
      <c r="A68" s="124" t="s">
        <v>234</v>
      </c>
      <c r="B68" s="125" t="s">
        <v>235</v>
      </c>
      <c r="C68" s="125" t="s">
        <v>30</v>
      </c>
      <c r="D68" s="125"/>
      <c r="E68" s="125" t="s">
        <v>76</v>
      </c>
      <c r="F68" s="125" t="s">
        <v>77</v>
      </c>
      <c r="G68" s="125" t="s">
        <v>78</v>
      </c>
      <c r="H68" s="126" t="s">
        <v>274</v>
      </c>
      <c r="I68" s="127" t="s">
        <v>79</v>
      </c>
      <c r="J68" s="128">
        <v>480</v>
      </c>
      <c r="K68" s="131">
        <v>102</v>
      </c>
      <c r="L68" s="106">
        <f>J68*K68</f>
        <v>48960</v>
      </c>
      <c r="M68" s="129"/>
    </row>
    <row r="69" spans="1:13" s="5" customFormat="1" ht="30" customHeight="1">
      <c r="A69" s="116" t="s">
        <v>31</v>
      </c>
      <c r="B69" s="117" t="s">
        <v>236</v>
      </c>
      <c r="C69" s="117"/>
      <c r="D69" s="117"/>
      <c r="E69" s="117"/>
      <c r="F69" s="117"/>
      <c r="G69" s="117"/>
      <c r="H69" s="118" t="s">
        <v>32</v>
      </c>
      <c r="I69" s="119"/>
      <c r="J69" s="120"/>
      <c r="K69" s="121"/>
      <c r="L69" s="122">
        <f>SUM(L70:L76)</f>
        <v>27430.05</v>
      </c>
      <c r="M69" s="123"/>
    </row>
    <row r="70" spans="1:13" s="5" customFormat="1" ht="39" customHeight="1" thickBot="1">
      <c r="A70" s="124" t="s">
        <v>237</v>
      </c>
      <c r="B70" s="125" t="s">
        <v>238</v>
      </c>
      <c r="C70" s="125" t="s">
        <v>239</v>
      </c>
      <c r="D70" s="125"/>
      <c r="E70" s="125" t="s">
        <v>76</v>
      </c>
      <c r="F70" s="125" t="s">
        <v>77</v>
      </c>
      <c r="G70" s="125" t="s">
        <v>78</v>
      </c>
      <c r="H70" s="126" t="s">
        <v>239</v>
      </c>
      <c r="I70" s="127" t="s">
        <v>240</v>
      </c>
      <c r="J70" s="128">
        <v>1</v>
      </c>
      <c r="K70" s="131">
        <v>3825</v>
      </c>
      <c r="L70" s="106">
        <f t="shared" ref="L70:L76" si="10">J70*K70</f>
        <v>3825</v>
      </c>
      <c r="M70" s="129"/>
    </row>
    <row r="71" spans="1:13" ht="39" customHeight="1" thickBot="1">
      <c r="A71" s="124" t="s">
        <v>241</v>
      </c>
      <c r="B71" s="125" t="s">
        <v>242</v>
      </c>
      <c r="C71" s="125" t="s">
        <v>243</v>
      </c>
      <c r="D71" s="125"/>
      <c r="E71" s="125" t="s">
        <v>76</v>
      </c>
      <c r="F71" s="125" t="s">
        <v>77</v>
      </c>
      <c r="G71" s="125" t="s">
        <v>78</v>
      </c>
      <c r="H71" s="126" t="s">
        <v>243</v>
      </c>
      <c r="I71" s="127" t="s">
        <v>240</v>
      </c>
      <c r="J71" s="128">
        <v>1</v>
      </c>
      <c r="K71" s="131">
        <v>5546.25</v>
      </c>
      <c r="L71" s="106">
        <f t="shared" si="10"/>
        <v>5546.25</v>
      </c>
      <c r="M71" s="129"/>
    </row>
    <row r="72" spans="1:13" ht="39" customHeight="1" thickBot="1">
      <c r="A72" s="124" t="s">
        <v>244</v>
      </c>
      <c r="B72" s="125" t="s">
        <v>245</v>
      </c>
      <c r="C72" s="125" t="s">
        <v>246</v>
      </c>
      <c r="D72" s="125"/>
      <c r="E72" s="125" t="s">
        <v>76</v>
      </c>
      <c r="F72" s="125" t="s">
        <v>77</v>
      </c>
      <c r="G72" s="125" t="s">
        <v>78</v>
      </c>
      <c r="H72" s="126" t="s">
        <v>246</v>
      </c>
      <c r="I72" s="127" t="s">
        <v>79</v>
      </c>
      <c r="J72" s="128">
        <v>480</v>
      </c>
      <c r="K72" s="131">
        <v>6.38</v>
      </c>
      <c r="L72" s="106">
        <f t="shared" si="10"/>
        <v>3062.4</v>
      </c>
      <c r="M72" s="129"/>
    </row>
    <row r="73" spans="1:13" ht="39" customHeight="1" thickBot="1">
      <c r="A73" s="124" t="s">
        <v>247</v>
      </c>
      <c r="B73" s="125" t="s">
        <v>248</v>
      </c>
      <c r="C73" s="125" t="s">
        <v>249</v>
      </c>
      <c r="D73" s="125"/>
      <c r="E73" s="125" t="s">
        <v>76</v>
      </c>
      <c r="F73" s="125" t="s">
        <v>77</v>
      </c>
      <c r="G73" s="125" t="s">
        <v>78</v>
      </c>
      <c r="H73" s="126" t="s">
        <v>249</v>
      </c>
      <c r="I73" s="127" t="s">
        <v>79</v>
      </c>
      <c r="J73" s="128">
        <v>480</v>
      </c>
      <c r="K73" s="131">
        <v>7.65</v>
      </c>
      <c r="L73" s="106">
        <f t="shared" si="10"/>
        <v>3672</v>
      </c>
      <c r="M73" s="129"/>
    </row>
    <row r="74" spans="1:13" ht="39" customHeight="1" thickBot="1">
      <c r="A74" s="124" t="s">
        <v>250</v>
      </c>
      <c r="B74" s="125" t="s">
        <v>251</v>
      </c>
      <c r="C74" s="125" t="s">
        <v>252</v>
      </c>
      <c r="D74" s="125"/>
      <c r="E74" s="125" t="s">
        <v>76</v>
      </c>
      <c r="F74" s="125" t="s">
        <v>77</v>
      </c>
      <c r="G74" s="125" t="s">
        <v>78</v>
      </c>
      <c r="H74" s="126" t="s">
        <v>252</v>
      </c>
      <c r="I74" s="127" t="s">
        <v>240</v>
      </c>
      <c r="J74" s="128">
        <v>1</v>
      </c>
      <c r="K74" s="131">
        <v>4590</v>
      </c>
      <c r="L74" s="106">
        <f t="shared" si="10"/>
        <v>4590</v>
      </c>
      <c r="M74" s="129"/>
    </row>
    <row r="75" spans="1:13" ht="39" customHeight="1" thickBot="1">
      <c r="A75" s="124" t="s">
        <v>253</v>
      </c>
      <c r="B75" s="125" t="s">
        <v>254</v>
      </c>
      <c r="C75" s="125" t="s">
        <v>255</v>
      </c>
      <c r="D75" s="125"/>
      <c r="E75" s="125" t="s">
        <v>76</v>
      </c>
      <c r="F75" s="125" t="s">
        <v>77</v>
      </c>
      <c r="G75" s="125" t="s">
        <v>78</v>
      </c>
      <c r="H75" s="126" t="s">
        <v>255</v>
      </c>
      <c r="I75" s="127" t="s">
        <v>79</v>
      </c>
      <c r="J75" s="128">
        <v>480</v>
      </c>
      <c r="K75" s="131">
        <v>10.199999999999999</v>
      </c>
      <c r="L75" s="106">
        <f t="shared" si="10"/>
        <v>4896</v>
      </c>
      <c r="M75" s="129"/>
    </row>
    <row r="76" spans="1:13" ht="39" customHeight="1" thickBot="1">
      <c r="A76" s="124" t="s">
        <v>256</v>
      </c>
      <c r="B76" s="125" t="s">
        <v>257</v>
      </c>
      <c r="C76" s="125" t="s">
        <v>258</v>
      </c>
      <c r="D76" s="125"/>
      <c r="E76" s="125" t="s">
        <v>76</v>
      </c>
      <c r="F76" s="125" t="s">
        <v>77</v>
      </c>
      <c r="G76" s="125" t="s">
        <v>78</v>
      </c>
      <c r="H76" s="126" t="s">
        <v>258</v>
      </c>
      <c r="I76" s="127" t="s">
        <v>79</v>
      </c>
      <c r="J76" s="128">
        <v>480</v>
      </c>
      <c r="K76" s="131">
        <v>3.83</v>
      </c>
      <c r="L76" s="106">
        <f t="shared" si="10"/>
        <v>1838.4</v>
      </c>
      <c r="M76" s="129"/>
    </row>
    <row r="79" spans="1:13" s="5" customFormat="1" ht="13.5" customHeight="1">
      <c r="A79" s="8"/>
      <c r="B79" s="8"/>
      <c r="C79" s="8"/>
      <c r="D79" s="8"/>
      <c r="E79" s="8"/>
      <c r="F79" s="8"/>
      <c r="G79" s="8"/>
      <c r="H79" s="9"/>
      <c r="I79" s="7"/>
      <c r="J79" s="10"/>
      <c r="K79" s="11"/>
      <c r="L79" s="12"/>
      <c r="M79" s="13"/>
    </row>
    <row r="85" spans="1:13" ht="13.5" customHeight="1">
      <c r="A85" s="43"/>
      <c r="B85" s="43"/>
      <c r="C85" s="43"/>
      <c r="D85" s="43"/>
      <c r="E85" s="43"/>
      <c r="F85" s="43"/>
      <c r="G85" s="43"/>
      <c r="H85" s="44"/>
      <c r="I85" s="45"/>
      <c r="J85" s="46"/>
      <c r="K85" s="47"/>
      <c r="L85" s="48"/>
      <c r="M85" s="49"/>
    </row>
    <row r="86" spans="1:13" ht="13.5" customHeight="1">
      <c r="A86" s="43"/>
      <c r="B86" s="43"/>
      <c r="C86" s="43"/>
      <c r="D86" s="43"/>
      <c r="E86" s="43"/>
      <c r="F86" s="43"/>
      <c r="G86" s="43"/>
      <c r="H86" s="44"/>
      <c r="I86" s="50"/>
      <c r="J86" s="51"/>
      <c r="K86" s="52"/>
      <c r="L86" s="53"/>
      <c r="M86" s="54"/>
    </row>
    <row r="87" spans="1:13" ht="13.5" customHeight="1">
      <c r="A87" s="43"/>
      <c r="B87" s="43"/>
      <c r="C87" s="43"/>
      <c r="D87" s="43"/>
      <c r="E87" s="43"/>
      <c r="F87" s="43"/>
      <c r="G87" s="43"/>
      <c r="H87" s="44"/>
      <c r="I87" s="50"/>
      <c r="J87" s="51"/>
      <c r="K87" s="52"/>
      <c r="L87" s="53"/>
      <c r="M87" s="54"/>
    </row>
    <row r="88" spans="1:13" ht="13.5" customHeight="1">
      <c r="A88" s="43"/>
      <c r="B88" s="43"/>
      <c r="C88" s="43"/>
      <c r="D88" s="43"/>
      <c r="E88" s="43"/>
      <c r="F88" s="43"/>
      <c r="G88" s="43"/>
      <c r="H88" s="44"/>
      <c r="I88" s="50"/>
      <c r="J88" s="51"/>
      <c r="K88" s="52"/>
      <c r="L88" s="53"/>
      <c r="M88" s="54"/>
    </row>
    <row r="89" spans="1:13" ht="13.5" customHeight="1">
      <c r="A89" s="43"/>
      <c r="B89" s="43"/>
      <c r="C89" s="43"/>
      <c r="D89" s="43"/>
      <c r="E89" s="43"/>
      <c r="F89" s="43"/>
      <c r="G89" s="43"/>
      <c r="H89" s="44"/>
      <c r="I89" s="50"/>
      <c r="J89" s="51"/>
      <c r="K89" s="52"/>
      <c r="L89" s="53"/>
      <c r="M89" s="54"/>
    </row>
    <row r="90" spans="1:13" ht="13.5" customHeight="1">
      <c r="A90" s="43"/>
      <c r="B90" s="43"/>
      <c r="C90" s="43"/>
      <c r="D90" s="43"/>
      <c r="E90" s="43"/>
      <c r="F90" s="43"/>
      <c r="G90" s="43"/>
      <c r="H90" s="44"/>
      <c r="I90" s="50"/>
      <c r="J90" s="51"/>
      <c r="K90" s="52"/>
      <c r="L90" s="53"/>
      <c r="M90" s="54"/>
    </row>
    <row r="91" spans="1:13" ht="13.5" customHeight="1">
      <c r="A91" s="43"/>
      <c r="B91" s="43"/>
      <c r="C91" s="43"/>
      <c r="D91" s="43"/>
      <c r="E91" s="43"/>
      <c r="F91" s="43"/>
      <c r="G91" s="43"/>
      <c r="H91" s="44"/>
      <c r="I91" s="50"/>
      <c r="J91" s="51"/>
      <c r="K91" s="52"/>
      <c r="L91" s="53"/>
      <c r="M91" s="54"/>
    </row>
    <row r="92" spans="1:13" ht="13.5" customHeight="1">
      <c r="A92" s="43"/>
      <c r="B92" s="43"/>
      <c r="C92" s="43"/>
      <c r="D92" s="43"/>
      <c r="E92" s="43"/>
      <c r="F92" s="43"/>
      <c r="G92" s="43"/>
      <c r="H92" s="44"/>
      <c r="I92" s="50"/>
      <c r="J92" s="51"/>
      <c r="K92" s="52"/>
      <c r="L92" s="53"/>
      <c r="M92" s="54"/>
    </row>
    <row r="93" spans="1:13" ht="13.5" customHeight="1">
      <c r="A93" s="43"/>
      <c r="B93" s="43"/>
      <c r="C93" s="43"/>
      <c r="D93" s="43"/>
      <c r="E93" s="43"/>
      <c r="F93" s="43"/>
      <c r="G93" s="43"/>
      <c r="H93" s="44"/>
      <c r="I93" s="50"/>
      <c r="J93" s="51"/>
      <c r="K93" s="52"/>
      <c r="L93" s="53"/>
      <c r="M93" s="54"/>
    </row>
    <row r="94" spans="1:13" ht="13.5" customHeight="1">
      <c r="A94" s="43"/>
      <c r="B94" s="43"/>
      <c r="C94" s="43"/>
      <c r="D94" s="43"/>
      <c r="E94" s="43"/>
      <c r="F94" s="43"/>
      <c r="G94" s="43"/>
      <c r="H94" s="44"/>
      <c r="I94" s="50"/>
      <c r="J94" s="51"/>
      <c r="K94" s="52"/>
      <c r="L94" s="53"/>
      <c r="M94" s="54"/>
    </row>
    <row r="95" spans="1:13" ht="13.5" customHeight="1">
      <c r="A95" s="43"/>
      <c r="B95" s="43"/>
      <c r="C95" s="43"/>
      <c r="D95" s="43"/>
      <c r="E95" s="43"/>
      <c r="F95" s="43"/>
      <c r="G95" s="43"/>
      <c r="H95" s="44"/>
    </row>
    <row r="96" spans="1:13" ht="13.5" customHeight="1">
      <c r="A96" s="43"/>
      <c r="B96" s="43"/>
      <c r="C96" s="43"/>
      <c r="D96" s="43"/>
      <c r="E96" s="43"/>
      <c r="F96" s="43"/>
      <c r="G96" s="43"/>
      <c r="H96" s="44"/>
      <c r="I96" s="50"/>
      <c r="J96" s="51"/>
      <c r="K96" s="52"/>
      <c r="L96" s="53"/>
      <c r="M96" s="54"/>
    </row>
    <row r="97" spans="1:13" ht="13.5" customHeight="1">
      <c r="A97" s="43"/>
      <c r="B97" s="43"/>
      <c r="C97" s="43"/>
      <c r="D97" s="43"/>
      <c r="E97" s="43"/>
      <c r="F97" s="43"/>
      <c r="G97" s="43"/>
      <c r="H97" s="44"/>
      <c r="I97" s="45"/>
      <c r="J97" s="46"/>
      <c r="K97" s="47"/>
      <c r="L97" s="48"/>
      <c r="M97" s="49"/>
    </row>
    <row r="98" spans="1:13" s="4" customFormat="1" ht="13.5" customHeight="1">
      <c r="A98" s="43"/>
      <c r="B98" s="43"/>
      <c r="C98" s="43"/>
      <c r="D98" s="43"/>
      <c r="E98" s="43"/>
      <c r="F98" s="43"/>
      <c r="G98" s="43"/>
      <c r="H98" s="44"/>
    </row>
    <row r="99" spans="1:13" s="4" customFormat="1" ht="13.5" customHeight="1">
      <c r="A99" s="43"/>
      <c r="B99" s="43"/>
      <c r="C99" s="43"/>
      <c r="D99" s="43"/>
      <c r="E99" s="43"/>
      <c r="F99" s="43"/>
      <c r="G99" s="43"/>
      <c r="H99" s="44"/>
    </row>
    <row r="100" spans="1:13" s="4" customFormat="1" ht="13.5" customHeight="1">
      <c r="A100" s="43"/>
      <c r="B100" s="43"/>
      <c r="C100" s="43"/>
      <c r="D100" s="43"/>
      <c r="E100" s="43"/>
      <c r="F100" s="43"/>
      <c r="G100" s="43"/>
      <c r="H100" s="44"/>
      <c r="I100" s="50"/>
      <c r="J100" s="51"/>
      <c r="K100" s="52"/>
      <c r="L100" s="53"/>
      <c r="M100" s="54"/>
    </row>
    <row r="101" spans="1:13" s="4" customFormat="1" ht="13.5" customHeight="1">
      <c r="A101" s="43"/>
      <c r="B101" s="43"/>
      <c r="C101" s="43"/>
      <c r="D101" s="43"/>
      <c r="E101" s="43"/>
      <c r="F101" s="43"/>
      <c r="G101" s="43"/>
      <c r="H101" s="44"/>
      <c r="I101" s="45"/>
      <c r="J101" s="46"/>
      <c r="K101" s="52"/>
      <c r="L101" s="53"/>
      <c r="M101" s="54"/>
    </row>
    <row r="102" spans="1:13" s="4" customFormat="1" ht="13.5" customHeight="1">
      <c r="A102" s="43"/>
      <c r="B102" s="43"/>
      <c r="C102" s="43"/>
      <c r="D102" s="43"/>
      <c r="E102" s="43"/>
      <c r="F102" s="43"/>
      <c r="G102" s="43"/>
      <c r="H102" s="44"/>
      <c r="I102" s="50"/>
      <c r="J102" s="51"/>
      <c r="K102" s="52"/>
      <c r="L102" s="53"/>
      <c r="M102" s="54"/>
    </row>
    <row r="103" spans="1:13" s="4" customFormat="1" ht="13.5" customHeight="1">
      <c r="A103" s="43"/>
      <c r="B103" s="43"/>
      <c r="C103" s="43"/>
      <c r="D103" s="43"/>
      <c r="E103" s="43"/>
      <c r="F103" s="43"/>
      <c r="G103" s="43"/>
      <c r="H103" s="44"/>
      <c r="I103" s="50"/>
      <c r="J103" s="51"/>
      <c r="K103" s="52"/>
      <c r="L103" s="53"/>
      <c r="M103" s="54"/>
    </row>
    <row r="104" spans="1:13" s="4" customFormat="1" ht="13.5" customHeight="1">
      <c r="A104" s="43"/>
      <c r="B104" s="43"/>
      <c r="C104" s="43"/>
      <c r="D104" s="43"/>
      <c r="E104" s="43"/>
      <c r="F104" s="43"/>
      <c r="G104" s="43"/>
      <c r="H104" s="44"/>
      <c r="I104" s="50"/>
      <c r="J104" s="51"/>
      <c r="K104" s="52"/>
      <c r="L104" s="53"/>
      <c r="M104" s="54"/>
    </row>
    <row r="105" spans="1:13" s="4" customFormat="1" ht="13.5" customHeight="1">
      <c r="A105" s="43"/>
      <c r="B105" s="43"/>
      <c r="C105" s="43"/>
      <c r="D105" s="43"/>
      <c r="E105" s="43"/>
      <c r="F105" s="43"/>
      <c r="G105" s="43"/>
      <c r="H105" s="44"/>
      <c r="I105" s="45"/>
      <c r="J105" s="46"/>
      <c r="K105" s="52"/>
      <c r="L105" s="53"/>
      <c r="M105" s="54"/>
    </row>
    <row r="106" spans="1:13" s="4" customFormat="1" ht="13.5" customHeight="1">
      <c r="A106" s="43"/>
      <c r="B106" s="43"/>
      <c r="C106" s="43"/>
      <c r="D106" s="43"/>
      <c r="E106" s="43"/>
      <c r="F106" s="43"/>
      <c r="G106" s="43"/>
      <c r="H106" s="44"/>
      <c r="I106" s="45"/>
      <c r="J106" s="46"/>
      <c r="K106" s="47"/>
      <c r="L106" s="48"/>
      <c r="M106" s="49"/>
    </row>
    <row r="107" spans="1:13" s="4" customFormat="1" ht="13.5" customHeight="1">
      <c r="A107" s="43"/>
      <c r="B107" s="43"/>
      <c r="C107" s="43"/>
      <c r="D107" s="43"/>
      <c r="E107" s="43"/>
      <c r="F107" s="43"/>
      <c r="G107" s="43"/>
      <c r="H107" s="44"/>
      <c r="I107" s="45"/>
      <c r="J107" s="46"/>
      <c r="K107" s="47"/>
      <c r="L107" s="48"/>
      <c r="M107" s="49"/>
    </row>
    <row r="108" spans="1:13" s="4" customFormat="1" ht="13.5" customHeight="1">
      <c r="A108" s="43"/>
      <c r="B108" s="43"/>
      <c r="C108" s="43"/>
      <c r="D108" s="43"/>
      <c r="E108" s="43"/>
      <c r="F108" s="43"/>
      <c r="G108" s="43"/>
      <c r="H108" s="44"/>
      <c r="I108" s="45"/>
      <c r="J108" s="46"/>
      <c r="K108" s="47"/>
      <c r="L108" s="48"/>
      <c r="M108" s="49"/>
    </row>
    <row r="109" spans="1:13" s="4" customFormat="1" ht="13.5" customHeight="1">
      <c r="A109" s="43"/>
      <c r="B109" s="43"/>
      <c r="C109" s="43"/>
      <c r="D109" s="43"/>
      <c r="E109" s="43"/>
      <c r="F109" s="43"/>
      <c r="G109" s="43"/>
      <c r="H109" s="44"/>
      <c r="I109" s="45"/>
      <c r="J109" s="46"/>
      <c r="K109" s="47"/>
      <c r="L109" s="48"/>
      <c r="M109" s="49"/>
    </row>
    <row r="110" spans="1:13" s="4" customFormat="1" ht="13.5" customHeight="1">
      <c r="A110" s="43"/>
      <c r="B110" s="43"/>
      <c r="C110" s="43"/>
      <c r="D110" s="43"/>
      <c r="E110" s="43"/>
      <c r="F110" s="43"/>
      <c r="G110" s="43"/>
      <c r="H110" s="44"/>
      <c r="I110" s="45"/>
      <c r="J110" s="46"/>
      <c r="K110" s="47"/>
      <c r="L110" s="48"/>
      <c r="M110" s="49"/>
    </row>
    <row r="111" spans="1:13" s="4" customFormat="1" ht="13.5" customHeight="1">
      <c r="A111" s="43"/>
      <c r="B111" s="43"/>
      <c r="C111" s="43"/>
      <c r="D111" s="43"/>
      <c r="E111" s="43"/>
      <c r="F111" s="43"/>
      <c r="G111" s="43"/>
      <c r="H111" s="44"/>
      <c r="I111" s="45"/>
      <c r="J111" s="46"/>
      <c r="K111" s="47"/>
      <c r="L111" s="48"/>
      <c r="M111" s="49"/>
    </row>
    <row r="112" spans="1:13" s="4" customFormat="1" ht="13.5" customHeight="1">
      <c r="A112" s="43"/>
      <c r="B112" s="43"/>
      <c r="C112" s="43"/>
      <c r="D112" s="43"/>
      <c r="E112" s="43"/>
      <c r="F112" s="43"/>
      <c r="G112" s="43"/>
      <c r="H112" s="44"/>
      <c r="I112" s="55"/>
      <c r="K112" s="47"/>
      <c r="L112" s="48"/>
      <c r="M112" s="49"/>
    </row>
    <row r="113" spans="1:13" s="4" customFormat="1" ht="13.5" customHeight="1">
      <c r="A113" s="43"/>
      <c r="B113" s="43"/>
      <c r="C113" s="43"/>
      <c r="D113" s="43"/>
      <c r="E113" s="43"/>
      <c r="F113" s="43"/>
      <c r="G113" s="43"/>
      <c r="H113" s="44"/>
      <c r="I113" s="55"/>
      <c r="K113" s="47"/>
      <c r="L113" s="48"/>
      <c r="M113" s="49"/>
    </row>
    <row r="114" spans="1:13" ht="13.5" customHeight="1">
      <c r="A114" s="43"/>
      <c r="B114" s="43"/>
      <c r="C114" s="43"/>
      <c r="D114" s="43"/>
      <c r="E114" s="43"/>
      <c r="F114" s="43"/>
      <c r="G114" s="43"/>
      <c r="H114" s="44"/>
      <c r="I114" s="55"/>
      <c r="K114" s="47"/>
      <c r="L114" s="48"/>
      <c r="M114" s="49"/>
    </row>
    <row r="115" spans="1:13" s="4" customFormat="1" ht="13.5" customHeight="1">
      <c r="A115" s="43"/>
      <c r="B115" s="43"/>
      <c r="C115" s="43"/>
      <c r="D115" s="43"/>
      <c r="E115" s="43"/>
      <c r="F115" s="43"/>
      <c r="G115" s="43"/>
      <c r="H115" s="44"/>
      <c r="I115" s="56"/>
      <c r="J115" s="46"/>
      <c r="K115" s="47"/>
      <c r="L115" s="48"/>
      <c r="M115" s="49"/>
    </row>
    <row r="116" spans="1:13" s="4" customFormat="1" ht="13.5" customHeight="1">
      <c r="A116" s="43"/>
      <c r="B116" s="43"/>
      <c r="C116" s="43"/>
      <c r="D116" s="43"/>
      <c r="E116" s="43"/>
      <c r="F116" s="43"/>
      <c r="G116" s="43"/>
      <c r="H116" s="44"/>
      <c r="I116" s="56"/>
      <c r="J116" s="46"/>
      <c r="K116" s="47"/>
      <c r="L116" s="48"/>
      <c r="M116" s="49"/>
    </row>
    <row r="117" spans="1:13" s="4" customFormat="1" ht="13.5" customHeight="1">
      <c r="A117" s="43"/>
      <c r="B117" s="43"/>
      <c r="C117" s="43"/>
      <c r="D117" s="43"/>
      <c r="E117" s="43"/>
      <c r="F117" s="43"/>
      <c r="G117" s="43"/>
      <c r="H117" s="44"/>
      <c r="I117" s="56"/>
      <c r="J117" s="46"/>
      <c r="K117" s="47"/>
      <c r="L117" s="48"/>
      <c r="M117" s="49"/>
    </row>
    <row r="118" spans="1:13" s="4" customFormat="1" ht="13.5" customHeight="1">
      <c r="A118" s="43"/>
      <c r="B118" s="43"/>
      <c r="C118" s="43"/>
      <c r="D118" s="43"/>
      <c r="E118" s="43"/>
      <c r="F118" s="43"/>
      <c r="G118" s="43"/>
      <c r="H118" s="44"/>
      <c r="I118" s="56"/>
      <c r="J118" s="46"/>
      <c r="K118" s="47"/>
      <c r="L118" s="48"/>
      <c r="M118" s="49"/>
    </row>
    <row r="119" spans="1:13" s="4" customFormat="1" ht="13.5" customHeight="1">
      <c r="A119" s="43"/>
      <c r="B119" s="43"/>
      <c r="C119" s="43"/>
      <c r="D119" s="43"/>
      <c r="E119" s="43"/>
      <c r="F119" s="43"/>
      <c r="G119" s="43"/>
      <c r="H119" s="44"/>
      <c r="I119" s="56"/>
      <c r="J119" s="46"/>
      <c r="K119" s="47"/>
      <c r="L119" s="48"/>
      <c r="M119" s="49"/>
    </row>
    <row r="120" spans="1:13" s="4" customFormat="1" ht="13.5" customHeight="1">
      <c r="A120" s="43"/>
      <c r="B120" s="43"/>
      <c r="C120" s="43"/>
      <c r="D120" s="43"/>
      <c r="E120" s="43"/>
      <c r="F120" s="43"/>
      <c r="G120" s="43"/>
      <c r="H120" s="44"/>
      <c r="I120" s="56"/>
      <c r="J120" s="46"/>
      <c r="K120" s="47"/>
      <c r="L120" s="48"/>
      <c r="M120" s="49"/>
    </row>
    <row r="121" spans="1:13" s="4" customFormat="1" ht="13.5" customHeight="1">
      <c r="A121" s="43"/>
      <c r="B121" s="43"/>
      <c r="C121" s="43"/>
      <c r="D121" s="43"/>
      <c r="E121" s="43"/>
      <c r="F121" s="43"/>
      <c r="G121" s="43"/>
      <c r="H121" s="44"/>
      <c r="I121" s="56"/>
      <c r="J121" s="46"/>
      <c r="K121" s="47"/>
      <c r="L121" s="48"/>
      <c r="M121" s="49"/>
    </row>
    <row r="122" spans="1:13" s="4" customFormat="1" ht="13.5" customHeight="1">
      <c r="A122" s="43"/>
      <c r="B122" s="43"/>
      <c r="C122" s="43"/>
      <c r="D122" s="43"/>
      <c r="E122" s="43"/>
      <c r="F122" s="43"/>
      <c r="G122" s="43"/>
      <c r="H122" s="44"/>
      <c r="I122" s="56"/>
      <c r="J122" s="46"/>
      <c r="K122" s="47"/>
      <c r="L122" s="48"/>
      <c r="M122" s="49"/>
    </row>
    <row r="123" spans="1:13" s="4" customFormat="1" ht="13.5" customHeight="1">
      <c r="A123" s="43"/>
      <c r="B123" s="43"/>
      <c r="C123" s="43"/>
      <c r="D123" s="43"/>
      <c r="E123" s="43"/>
      <c r="F123" s="43"/>
      <c r="G123" s="43"/>
      <c r="H123" s="44"/>
      <c r="I123" s="56"/>
      <c r="J123" s="46"/>
      <c r="K123" s="47"/>
      <c r="L123" s="48"/>
      <c r="M123" s="49"/>
    </row>
    <row r="124" spans="1:13" s="4" customFormat="1" ht="13.5" customHeight="1">
      <c r="A124" s="43"/>
      <c r="B124" s="43"/>
      <c r="C124" s="43"/>
      <c r="D124" s="43"/>
      <c r="E124" s="43"/>
      <c r="F124" s="43"/>
      <c r="G124" s="43"/>
      <c r="H124" s="44"/>
      <c r="I124" s="45"/>
      <c r="J124" s="46"/>
      <c r="K124" s="47"/>
      <c r="L124" s="48"/>
      <c r="M124" s="49"/>
    </row>
    <row r="125" spans="1:13" s="4" customFormat="1" ht="13.5" customHeight="1">
      <c r="A125" s="43"/>
      <c r="B125" s="43"/>
      <c r="C125" s="43"/>
      <c r="D125" s="43"/>
      <c r="E125" s="43"/>
      <c r="F125" s="43"/>
      <c r="G125" s="43"/>
      <c r="H125" s="44"/>
      <c r="I125" s="45"/>
      <c r="J125" s="46"/>
      <c r="K125" s="47"/>
      <c r="L125" s="48"/>
      <c r="M125" s="49"/>
    </row>
    <row r="126" spans="1:13" s="4" customFormat="1" ht="13.5" customHeight="1">
      <c r="A126" s="43"/>
      <c r="B126" s="43"/>
      <c r="C126" s="43"/>
      <c r="D126" s="43"/>
      <c r="E126" s="43"/>
      <c r="F126" s="43"/>
      <c r="G126" s="43"/>
      <c r="H126" s="44"/>
      <c r="I126" s="45"/>
      <c r="J126" s="46"/>
      <c r="K126" s="47"/>
      <c r="L126" s="48"/>
      <c r="M126" s="49"/>
    </row>
    <row r="127" spans="1:13" s="4" customFormat="1" ht="13.5" customHeight="1">
      <c r="A127" s="43"/>
      <c r="B127" s="43"/>
      <c r="C127" s="43"/>
      <c r="D127" s="43"/>
      <c r="E127" s="43"/>
      <c r="F127" s="43"/>
      <c r="G127" s="43"/>
      <c r="H127" s="44"/>
      <c r="I127" s="45"/>
      <c r="J127" s="46"/>
      <c r="K127" s="47"/>
      <c r="L127" s="48"/>
      <c r="M127" s="49"/>
    </row>
    <row r="128" spans="1:13" s="4" customFormat="1" ht="13.5" customHeight="1">
      <c r="A128" s="43"/>
      <c r="B128" s="43"/>
      <c r="C128" s="43"/>
      <c r="D128" s="43"/>
      <c r="E128" s="43"/>
      <c r="F128" s="43"/>
      <c r="G128" s="43"/>
      <c r="H128" s="44"/>
      <c r="I128" s="45"/>
      <c r="J128" s="46"/>
      <c r="K128" s="47"/>
      <c r="L128" s="48"/>
      <c r="M128" s="49"/>
    </row>
    <row r="129" spans="1:13" s="4" customFormat="1" ht="13.5" customHeight="1">
      <c r="A129" s="43"/>
      <c r="B129" s="43"/>
      <c r="C129" s="43"/>
      <c r="D129" s="43"/>
      <c r="E129" s="43"/>
      <c r="F129" s="43"/>
      <c r="G129" s="43"/>
      <c r="H129" s="44"/>
      <c r="I129" s="45"/>
      <c r="J129" s="46"/>
      <c r="K129" s="47"/>
      <c r="L129" s="48"/>
      <c r="M129" s="49"/>
    </row>
    <row r="130" spans="1:13" s="4" customFormat="1" ht="13.5" customHeight="1">
      <c r="A130" s="43"/>
      <c r="B130" s="43"/>
      <c r="C130" s="43"/>
      <c r="D130" s="43"/>
      <c r="E130" s="43"/>
      <c r="F130" s="43"/>
      <c r="G130" s="43"/>
      <c r="H130" s="44"/>
      <c r="I130" s="45"/>
      <c r="J130" s="46"/>
      <c r="K130" s="47"/>
      <c r="L130" s="48"/>
      <c r="M130" s="49"/>
    </row>
    <row r="131" spans="1:13" ht="13.5" customHeight="1">
      <c r="A131" s="43"/>
      <c r="B131" s="43"/>
      <c r="C131" s="43"/>
      <c r="D131" s="43"/>
      <c r="E131" s="43"/>
      <c r="F131" s="43"/>
      <c r="G131" s="43"/>
      <c r="H131" s="44"/>
      <c r="I131" s="45"/>
      <c r="J131" s="46"/>
      <c r="K131" s="47"/>
      <c r="L131" s="48"/>
      <c r="M131" s="49"/>
    </row>
    <row r="132" spans="1:13" ht="13.5" customHeight="1">
      <c r="A132" s="43"/>
      <c r="B132" s="43"/>
      <c r="C132" s="43"/>
      <c r="D132" s="43"/>
      <c r="E132" s="43"/>
      <c r="F132" s="43"/>
      <c r="G132" s="43"/>
      <c r="H132" s="44"/>
      <c r="I132" s="45"/>
      <c r="J132" s="46"/>
      <c r="K132" s="47"/>
      <c r="L132" s="48"/>
      <c r="M132" s="49"/>
    </row>
    <row r="133" spans="1:13" ht="13.5" customHeight="1">
      <c r="A133" s="43"/>
      <c r="B133" s="43"/>
      <c r="C133" s="43"/>
      <c r="D133" s="43"/>
      <c r="E133" s="43"/>
      <c r="F133" s="43"/>
      <c r="G133" s="43"/>
      <c r="H133" s="44"/>
      <c r="I133" s="45"/>
      <c r="J133" s="46"/>
      <c r="K133" s="47"/>
      <c r="L133" s="48"/>
      <c r="M133" s="49"/>
    </row>
    <row r="134" spans="1:13" s="4" customFormat="1" ht="13.5" customHeight="1">
      <c r="A134" s="57"/>
      <c r="B134" s="57"/>
      <c r="C134" s="57"/>
      <c r="D134" s="57"/>
      <c r="E134" s="57"/>
      <c r="F134" s="57"/>
      <c r="G134" s="57"/>
      <c r="H134" s="58"/>
      <c r="I134" s="59"/>
      <c r="J134" s="60"/>
      <c r="K134" s="61"/>
      <c r="L134" s="62"/>
      <c r="M134" s="63"/>
    </row>
    <row r="135" spans="1:13" s="4" customFormat="1" ht="13.5" customHeight="1">
      <c r="A135" s="43"/>
      <c r="B135" s="43"/>
      <c r="C135" s="43"/>
      <c r="D135" s="43"/>
      <c r="E135" s="43"/>
      <c r="F135" s="43"/>
      <c r="G135" s="43"/>
      <c r="H135" s="44"/>
      <c r="I135" s="45"/>
      <c r="J135" s="46"/>
      <c r="K135" s="47"/>
      <c r="L135" s="48"/>
      <c r="M135" s="49"/>
    </row>
    <row r="136" spans="1:13" s="4" customFormat="1" ht="13.5" customHeight="1">
      <c r="A136" s="43"/>
      <c r="B136" s="43"/>
      <c r="C136" s="43"/>
      <c r="D136" s="43"/>
      <c r="E136" s="43"/>
      <c r="F136" s="43"/>
      <c r="G136" s="43"/>
      <c r="H136" s="44"/>
      <c r="I136" s="45"/>
      <c r="J136" s="46"/>
      <c r="K136" s="47"/>
      <c r="L136" s="48"/>
      <c r="M136" s="49"/>
    </row>
    <row r="137" spans="1:13" s="4" customFormat="1" ht="13.5" customHeight="1">
      <c r="A137" s="43"/>
      <c r="B137" s="43"/>
      <c r="C137" s="43"/>
      <c r="D137" s="43"/>
      <c r="E137" s="43"/>
      <c r="F137" s="43"/>
      <c r="G137" s="43"/>
      <c r="H137" s="44"/>
      <c r="I137" s="45"/>
      <c r="J137" s="46"/>
      <c r="K137" s="47"/>
      <c r="L137" s="48"/>
      <c r="M137" s="49"/>
    </row>
    <row r="138" spans="1:13" s="4" customFormat="1" ht="13.5" customHeight="1">
      <c r="A138" s="43"/>
      <c r="B138" s="43"/>
      <c r="C138" s="43"/>
      <c r="D138" s="43"/>
      <c r="E138" s="43"/>
      <c r="F138" s="43"/>
      <c r="G138" s="43"/>
      <c r="H138" s="44"/>
      <c r="I138" s="45"/>
      <c r="J138" s="46"/>
      <c r="K138" s="47"/>
      <c r="L138" s="48"/>
      <c r="M138" s="49"/>
    </row>
    <row r="139" spans="1:13" ht="13.5" customHeight="1">
      <c r="A139" s="43"/>
      <c r="B139" s="43"/>
      <c r="C139" s="43"/>
      <c r="D139" s="43"/>
      <c r="E139" s="43"/>
      <c r="F139" s="43"/>
      <c r="G139" s="43"/>
      <c r="H139" s="44"/>
      <c r="I139" s="45"/>
      <c r="J139" s="46"/>
      <c r="K139" s="47"/>
      <c r="L139" s="48"/>
      <c r="M139" s="49"/>
    </row>
    <row r="140" spans="1:13" ht="13.5" customHeight="1">
      <c r="A140" s="43"/>
      <c r="B140" s="43"/>
      <c r="C140" s="43"/>
      <c r="D140" s="43"/>
      <c r="E140" s="43"/>
      <c r="F140" s="43"/>
      <c r="G140" s="43"/>
      <c r="H140" s="44"/>
      <c r="I140" s="45"/>
      <c r="J140" s="46"/>
      <c r="K140" s="47"/>
      <c r="L140" s="48"/>
      <c r="M140" s="49"/>
    </row>
    <row r="141" spans="1:13" ht="13.5" customHeight="1">
      <c r="A141" s="43"/>
      <c r="B141" s="43"/>
      <c r="C141" s="43"/>
      <c r="D141" s="43"/>
      <c r="E141" s="43"/>
      <c r="F141" s="43"/>
      <c r="G141" s="43"/>
      <c r="H141" s="44"/>
      <c r="I141" s="45"/>
      <c r="J141" s="46"/>
      <c r="K141" s="47"/>
      <c r="L141" s="48"/>
      <c r="M141" s="49"/>
    </row>
    <row r="142" spans="1:13" s="4" customFormat="1" ht="13.5" customHeight="1">
      <c r="A142" s="43"/>
      <c r="B142" s="43"/>
      <c r="C142" s="43"/>
      <c r="D142" s="43"/>
      <c r="E142" s="43"/>
      <c r="F142" s="43"/>
      <c r="G142" s="43"/>
      <c r="H142" s="44"/>
      <c r="I142" s="50"/>
      <c r="J142" s="51"/>
      <c r="K142" s="47"/>
      <c r="L142" s="48"/>
      <c r="M142" s="49"/>
    </row>
    <row r="143" spans="1:13" s="4" customFormat="1" ht="13.5" customHeight="1">
      <c r="A143" s="43"/>
      <c r="B143" s="43"/>
      <c r="C143" s="43"/>
      <c r="D143" s="43"/>
      <c r="E143" s="43"/>
      <c r="F143" s="43"/>
      <c r="G143" s="43"/>
      <c r="H143" s="44"/>
      <c r="I143" s="50"/>
      <c r="J143" s="51"/>
      <c r="K143" s="47"/>
      <c r="L143" s="48"/>
      <c r="M143" s="49"/>
    </row>
    <row r="144" spans="1:13" s="4" customFormat="1" ht="13.5" customHeight="1">
      <c r="A144" s="43"/>
      <c r="B144" s="43"/>
      <c r="C144" s="43"/>
      <c r="D144" s="43"/>
      <c r="E144" s="43"/>
      <c r="F144" s="43"/>
      <c r="G144" s="43"/>
      <c r="H144" s="44"/>
      <c r="I144" s="64"/>
      <c r="J144" s="10"/>
      <c r="K144" s="47"/>
      <c r="L144" s="48"/>
      <c r="M144" s="49"/>
    </row>
    <row r="145" spans="1:13" s="4" customFormat="1" ht="13.5" customHeight="1">
      <c r="A145" s="43"/>
      <c r="B145" s="43"/>
      <c r="C145" s="43"/>
      <c r="D145" s="43"/>
      <c r="E145" s="43"/>
      <c r="F145" s="43"/>
      <c r="G145" s="43"/>
      <c r="H145" s="44"/>
      <c r="I145" s="64"/>
      <c r="K145" s="47"/>
      <c r="L145" s="48"/>
      <c r="M145" s="49"/>
    </row>
    <row r="146" spans="1:13" s="4" customFormat="1" ht="13.5" customHeight="1">
      <c r="A146" s="43"/>
      <c r="B146" s="43"/>
      <c r="C146" s="43"/>
      <c r="D146" s="43"/>
      <c r="E146" s="43"/>
      <c r="F146" s="43"/>
      <c r="G146" s="43"/>
      <c r="H146" s="44"/>
      <c r="I146" s="45"/>
      <c r="J146" s="46"/>
      <c r="K146" s="47"/>
      <c r="L146" s="48"/>
      <c r="M146" s="49"/>
    </row>
    <row r="147" spans="1:13" ht="13.5" customHeight="1">
      <c r="A147" s="43"/>
      <c r="B147" s="43"/>
      <c r="C147" s="43"/>
      <c r="D147" s="43"/>
      <c r="E147" s="43"/>
      <c r="F147" s="43"/>
      <c r="G147" s="43"/>
      <c r="H147" s="44"/>
      <c r="I147" s="45"/>
      <c r="J147" s="46"/>
      <c r="K147" s="47"/>
      <c r="L147" s="48"/>
      <c r="M147" s="49"/>
    </row>
    <row r="148" spans="1:13" ht="13.5" customHeight="1">
      <c r="A148" s="43"/>
      <c r="B148" s="43"/>
      <c r="C148" s="43"/>
      <c r="D148" s="43"/>
      <c r="E148" s="43"/>
      <c r="F148" s="43"/>
      <c r="G148" s="43"/>
      <c r="H148" s="44"/>
      <c r="I148" s="45"/>
      <c r="J148" s="46"/>
      <c r="K148" s="47"/>
      <c r="L148" s="48"/>
      <c r="M148" s="49"/>
    </row>
    <row r="149" spans="1:13" ht="13.5" customHeight="1">
      <c r="A149" s="43"/>
      <c r="B149" s="43"/>
      <c r="C149" s="43"/>
      <c r="D149" s="43"/>
      <c r="E149" s="43"/>
      <c r="F149" s="43"/>
      <c r="G149" s="43"/>
      <c r="H149" s="44"/>
      <c r="I149" s="45"/>
      <c r="J149" s="46"/>
      <c r="K149" s="47"/>
      <c r="L149" s="48"/>
      <c r="M149" s="49"/>
    </row>
    <row r="150" spans="1:13" s="4" customFormat="1" ht="13.5" customHeight="1">
      <c r="A150" s="43"/>
      <c r="B150" s="43"/>
      <c r="C150" s="43"/>
      <c r="D150" s="43"/>
      <c r="E150" s="43"/>
      <c r="F150" s="43"/>
      <c r="G150" s="43"/>
      <c r="H150" s="44"/>
      <c r="I150" s="45"/>
      <c r="J150" s="46"/>
      <c r="K150" s="47"/>
      <c r="L150" s="48"/>
      <c r="M150" s="49"/>
    </row>
    <row r="151" spans="1:13" s="4" customFormat="1" ht="13.5" customHeight="1">
      <c r="A151" s="43"/>
      <c r="B151" s="43"/>
      <c r="C151" s="43"/>
      <c r="D151" s="43"/>
      <c r="E151" s="43"/>
      <c r="F151" s="43"/>
      <c r="G151" s="43"/>
      <c r="H151" s="44"/>
      <c r="I151" s="45"/>
      <c r="J151" s="46"/>
      <c r="K151" s="47"/>
      <c r="L151" s="48"/>
      <c r="M151" s="49"/>
    </row>
    <row r="152" spans="1:13" s="4" customFormat="1" ht="13.5" customHeight="1">
      <c r="A152" s="43"/>
      <c r="B152" s="43"/>
      <c r="C152" s="43"/>
      <c r="D152" s="43"/>
      <c r="E152" s="43"/>
      <c r="F152" s="43"/>
      <c r="G152" s="43"/>
      <c r="H152" s="44"/>
      <c r="I152" s="45"/>
      <c r="J152" s="46"/>
      <c r="K152" s="47"/>
      <c r="L152" s="48"/>
      <c r="M152" s="49"/>
    </row>
    <row r="153" spans="1:13" s="4" customFormat="1" ht="13.5" customHeight="1">
      <c r="A153" s="43"/>
      <c r="B153" s="43"/>
      <c r="C153" s="43"/>
      <c r="D153" s="43"/>
      <c r="E153" s="43"/>
      <c r="F153" s="43"/>
      <c r="G153" s="43"/>
      <c r="H153" s="44"/>
      <c r="I153" s="45"/>
      <c r="J153" s="46"/>
      <c r="K153" s="47"/>
      <c r="L153" s="48"/>
      <c r="M153" s="49"/>
    </row>
    <row r="154" spans="1:13" s="4" customFormat="1" ht="13.5" customHeight="1">
      <c r="A154" s="43"/>
      <c r="B154" s="43"/>
      <c r="C154" s="43"/>
      <c r="D154" s="43"/>
      <c r="E154" s="43"/>
      <c r="F154" s="43"/>
      <c r="G154" s="43"/>
      <c r="H154" s="44"/>
      <c r="I154" s="50"/>
      <c r="J154" s="51"/>
      <c r="K154" s="47"/>
      <c r="L154" s="48"/>
      <c r="M154" s="49"/>
    </row>
    <row r="155" spans="1:13" s="4" customFormat="1" ht="13.5" customHeight="1">
      <c r="A155" s="43"/>
      <c r="B155" s="43"/>
      <c r="C155" s="43"/>
      <c r="D155" s="43"/>
      <c r="E155" s="43"/>
      <c r="F155" s="43"/>
      <c r="G155" s="43"/>
      <c r="H155" s="44"/>
      <c r="I155" s="45"/>
      <c r="J155" s="46"/>
      <c r="K155" s="47"/>
      <c r="L155" s="48"/>
      <c r="M155" s="49"/>
    </row>
    <row r="156" spans="1:13" ht="13.5" customHeight="1">
      <c r="A156" s="43"/>
      <c r="B156" s="43"/>
      <c r="C156" s="43"/>
      <c r="D156" s="43"/>
      <c r="E156" s="43"/>
      <c r="F156" s="43"/>
      <c r="G156" s="43"/>
      <c r="H156" s="44"/>
      <c r="I156" s="45"/>
      <c r="J156" s="46"/>
      <c r="K156" s="47"/>
      <c r="L156" s="48"/>
      <c r="M156" s="49"/>
    </row>
    <row r="157" spans="1:13" ht="13.5" customHeight="1">
      <c r="A157" s="43"/>
      <c r="B157" s="43"/>
      <c r="C157" s="43"/>
      <c r="D157" s="43"/>
      <c r="E157" s="43"/>
      <c r="F157" s="43"/>
      <c r="G157" s="43"/>
      <c r="H157" s="44"/>
      <c r="I157" s="64"/>
      <c r="K157" s="47"/>
      <c r="L157" s="48"/>
      <c r="M157" s="49"/>
    </row>
    <row r="158" spans="1:13" s="4" customFormat="1" ht="13.5" customHeight="1">
      <c r="A158" s="43"/>
      <c r="B158" s="43"/>
      <c r="C158" s="43"/>
      <c r="D158" s="43"/>
      <c r="E158" s="43"/>
      <c r="F158" s="43"/>
      <c r="G158" s="43"/>
      <c r="H158" s="44"/>
      <c r="I158" s="45"/>
      <c r="J158" s="46"/>
      <c r="K158" s="47"/>
      <c r="L158" s="48"/>
      <c r="M158" s="49"/>
    </row>
    <row r="159" spans="1:13" ht="13.5" customHeight="1">
      <c r="A159" s="43"/>
      <c r="B159" s="43"/>
      <c r="C159" s="43"/>
      <c r="D159" s="43"/>
      <c r="E159" s="43"/>
      <c r="F159" s="43"/>
      <c r="G159" s="43"/>
      <c r="H159" s="44"/>
      <c r="I159" s="45"/>
      <c r="J159" s="46"/>
      <c r="K159" s="47"/>
      <c r="L159" s="48"/>
      <c r="M159" s="49"/>
    </row>
    <row r="160" spans="1:13" ht="13.5" customHeight="1">
      <c r="A160" s="43"/>
      <c r="B160" s="43"/>
      <c r="C160" s="43"/>
      <c r="D160" s="43"/>
      <c r="E160" s="43"/>
      <c r="F160" s="43"/>
      <c r="G160" s="43"/>
      <c r="H160" s="44"/>
      <c r="I160" s="45"/>
      <c r="J160" s="46"/>
      <c r="K160" s="47"/>
      <c r="L160" s="48"/>
      <c r="M160" s="49"/>
    </row>
    <row r="161" spans="1:13" ht="13.5" customHeight="1">
      <c r="A161" s="43"/>
      <c r="B161" s="43"/>
      <c r="C161" s="43"/>
      <c r="D161" s="43"/>
      <c r="E161" s="43"/>
      <c r="F161" s="43"/>
      <c r="G161" s="43"/>
      <c r="H161" s="44"/>
      <c r="I161" s="45"/>
      <c r="J161" s="46"/>
      <c r="K161" s="47"/>
      <c r="L161" s="48"/>
      <c r="M161" s="49"/>
    </row>
    <row r="162" spans="1:13" s="4" customFormat="1" ht="13.5" customHeight="1">
      <c r="A162" s="43"/>
      <c r="B162" s="43"/>
      <c r="C162" s="43"/>
      <c r="D162" s="43"/>
      <c r="E162" s="43"/>
      <c r="F162" s="43"/>
      <c r="G162" s="43"/>
      <c r="H162" s="44"/>
      <c r="I162" s="45"/>
      <c r="J162" s="46"/>
      <c r="K162" s="47"/>
      <c r="L162" s="48"/>
      <c r="M162" s="49"/>
    </row>
    <row r="163" spans="1:13" s="4" customFormat="1" ht="13.5" customHeight="1">
      <c r="A163" s="43"/>
      <c r="B163" s="43"/>
      <c r="C163" s="43"/>
      <c r="D163" s="43"/>
      <c r="E163" s="43"/>
      <c r="F163" s="43"/>
      <c r="G163" s="43"/>
      <c r="H163" s="44"/>
      <c r="I163" s="45"/>
      <c r="J163" s="46"/>
      <c r="K163" s="47"/>
      <c r="L163" s="48"/>
      <c r="M163" s="49"/>
    </row>
    <row r="164" spans="1:13" s="4" customFormat="1" ht="13.5" customHeight="1">
      <c r="A164" s="43"/>
      <c r="B164" s="43"/>
      <c r="C164" s="43"/>
      <c r="D164" s="43"/>
      <c r="E164" s="43"/>
      <c r="F164" s="43"/>
      <c r="G164" s="43"/>
      <c r="H164" s="44"/>
      <c r="I164" s="45"/>
      <c r="J164" s="46"/>
      <c r="K164" s="47"/>
      <c r="L164" s="48"/>
      <c r="M164" s="49"/>
    </row>
    <row r="165" spans="1:13" s="7" customFormat="1" ht="13.5" customHeight="1">
      <c r="A165" s="43"/>
      <c r="B165" s="43"/>
      <c r="C165" s="43"/>
      <c r="D165" s="43"/>
      <c r="E165" s="43"/>
      <c r="F165" s="43"/>
      <c r="G165" s="43"/>
      <c r="H165" s="44"/>
      <c r="I165" s="45"/>
      <c r="J165" s="46"/>
      <c r="K165" s="47"/>
      <c r="L165" s="48"/>
      <c r="M165" s="49"/>
    </row>
    <row r="166" spans="1:13" ht="13.5" customHeight="1">
      <c r="A166" s="43"/>
      <c r="B166" s="43"/>
      <c r="C166" s="43"/>
      <c r="D166" s="43"/>
      <c r="E166" s="43"/>
      <c r="F166" s="43"/>
      <c r="G166" s="43"/>
      <c r="H166" s="44"/>
      <c r="I166" s="45"/>
      <c r="J166" s="46"/>
      <c r="K166" s="47"/>
      <c r="L166" s="48"/>
      <c r="M166" s="49"/>
    </row>
    <row r="167" spans="1:13" ht="13.5" customHeight="1">
      <c r="A167" s="43"/>
      <c r="B167" s="43"/>
      <c r="C167" s="43"/>
      <c r="D167" s="43"/>
      <c r="E167" s="43"/>
      <c r="F167" s="43"/>
      <c r="G167" s="43"/>
      <c r="H167" s="44"/>
      <c r="I167" s="45"/>
      <c r="J167" s="46"/>
      <c r="K167" s="47"/>
      <c r="L167" s="48"/>
      <c r="M167" s="49"/>
    </row>
    <row r="168" spans="1:13" ht="13.5" customHeight="1">
      <c r="A168" s="43"/>
      <c r="B168" s="43"/>
      <c r="C168" s="43"/>
      <c r="D168" s="43"/>
      <c r="E168" s="43"/>
      <c r="F168" s="43"/>
      <c r="G168" s="43"/>
      <c r="H168" s="44"/>
      <c r="I168" s="45"/>
      <c r="J168" s="46"/>
      <c r="K168" s="47"/>
      <c r="L168" s="48"/>
      <c r="M168" s="49"/>
    </row>
    <row r="169" spans="1:13" ht="13.5" customHeight="1">
      <c r="A169" s="43"/>
      <c r="B169" s="43"/>
      <c r="C169" s="43"/>
      <c r="D169" s="43"/>
      <c r="E169" s="43"/>
      <c r="F169" s="43"/>
      <c r="G169" s="43"/>
      <c r="H169" s="44"/>
      <c r="I169" s="45"/>
      <c r="J169" s="46"/>
      <c r="K169" s="47"/>
      <c r="L169" s="48"/>
      <c r="M169" s="49"/>
    </row>
    <row r="170" spans="1:13" ht="13.5" customHeight="1">
      <c r="A170" s="43"/>
      <c r="B170" s="43"/>
      <c r="C170" s="43"/>
      <c r="D170" s="43"/>
      <c r="E170" s="43"/>
      <c r="F170" s="43"/>
      <c r="G170" s="43"/>
      <c r="H170" s="44"/>
      <c r="I170" s="45"/>
      <c r="J170" s="46"/>
      <c r="K170" s="47"/>
      <c r="L170" s="48"/>
      <c r="M170" s="49"/>
    </row>
    <row r="171" spans="1:13" ht="13.5" customHeight="1">
      <c r="A171" s="43"/>
      <c r="B171" s="43"/>
      <c r="C171" s="43"/>
      <c r="D171" s="43"/>
      <c r="E171" s="43"/>
      <c r="F171" s="43"/>
      <c r="G171" s="43"/>
      <c r="H171" s="44"/>
      <c r="I171" s="45"/>
      <c r="J171" s="46"/>
      <c r="K171" s="47"/>
      <c r="L171" s="48"/>
      <c r="M171" s="49"/>
    </row>
    <row r="172" spans="1:13" ht="13.5" customHeight="1">
      <c r="A172" s="43"/>
      <c r="B172" s="43"/>
      <c r="C172" s="43"/>
      <c r="D172" s="43"/>
      <c r="E172" s="43"/>
      <c r="F172" s="43"/>
      <c r="G172" s="43"/>
      <c r="H172" s="44"/>
      <c r="I172" s="45"/>
      <c r="J172" s="46"/>
      <c r="K172" s="47"/>
      <c r="L172" s="48"/>
      <c r="M172" s="49"/>
    </row>
    <row r="173" spans="1:13" s="4" customFormat="1" ht="13.5" customHeight="1">
      <c r="A173" s="43"/>
      <c r="B173" s="43"/>
      <c r="C173" s="43"/>
      <c r="D173" s="43"/>
      <c r="E173" s="43"/>
      <c r="F173" s="43"/>
      <c r="G173" s="43"/>
      <c r="H173" s="44"/>
      <c r="I173" s="50"/>
      <c r="J173" s="51"/>
      <c r="K173" s="52"/>
      <c r="L173" s="53"/>
      <c r="M173" s="54"/>
    </row>
    <row r="174" spans="1:13" s="5" customFormat="1" ht="13.5" customHeight="1">
      <c r="A174" s="43"/>
      <c r="B174" s="43"/>
      <c r="C174" s="43"/>
      <c r="D174" s="43"/>
      <c r="E174" s="43"/>
      <c r="F174" s="43"/>
      <c r="G174" s="43"/>
      <c r="H174" s="44"/>
      <c r="I174" s="50"/>
      <c r="J174" s="51"/>
      <c r="K174" s="52"/>
      <c r="L174" s="53"/>
      <c r="M174" s="54"/>
    </row>
    <row r="175" spans="1:13" s="5" customFormat="1" ht="13.5" customHeight="1">
      <c r="A175" s="43"/>
      <c r="B175" s="43"/>
      <c r="C175" s="43"/>
      <c r="D175" s="43"/>
      <c r="E175" s="43"/>
      <c r="F175" s="43"/>
      <c r="G175" s="43"/>
      <c r="H175" s="44"/>
      <c r="I175" s="50"/>
      <c r="J175" s="51"/>
      <c r="K175" s="52"/>
      <c r="L175" s="53"/>
      <c r="M175" s="54"/>
    </row>
    <row r="176" spans="1:13" s="5" customFormat="1" ht="13.5" customHeight="1">
      <c r="A176" s="43"/>
      <c r="B176" s="43"/>
      <c r="C176" s="43"/>
      <c r="D176" s="43"/>
      <c r="E176" s="43"/>
      <c r="F176" s="43"/>
      <c r="G176" s="43"/>
      <c r="H176" s="44"/>
      <c r="I176" s="50"/>
      <c r="J176" s="51"/>
      <c r="K176" s="52"/>
      <c r="L176" s="53"/>
      <c r="M176" s="54"/>
    </row>
    <row r="177" spans="1:13" ht="13.5" customHeight="1">
      <c r="A177" s="43"/>
      <c r="B177" s="43"/>
      <c r="C177" s="43"/>
      <c r="D177" s="43"/>
      <c r="E177" s="43"/>
      <c r="F177" s="43"/>
      <c r="G177" s="43"/>
      <c r="H177" s="44"/>
      <c r="I177" s="50"/>
      <c r="J177" s="51"/>
      <c r="K177" s="52"/>
      <c r="L177" s="53"/>
      <c r="M177" s="54"/>
    </row>
    <row r="178" spans="1:13" ht="13.5" customHeight="1">
      <c r="A178" s="43"/>
      <c r="B178" s="43"/>
      <c r="C178" s="43"/>
      <c r="D178" s="43"/>
      <c r="E178" s="43"/>
      <c r="F178" s="43"/>
      <c r="G178" s="43"/>
      <c r="H178" s="44"/>
      <c r="I178" s="50"/>
      <c r="J178" s="51"/>
      <c r="K178" s="52"/>
      <c r="L178" s="53"/>
      <c r="M178" s="54"/>
    </row>
    <row r="179" spans="1:13" ht="13.5" customHeight="1">
      <c r="A179" s="43"/>
      <c r="B179" s="43"/>
      <c r="C179" s="43"/>
      <c r="D179" s="43"/>
      <c r="E179" s="43"/>
      <c r="F179" s="43"/>
      <c r="G179" s="43"/>
      <c r="H179" s="44"/>
      <c r="I179" s="50"/>
      <c r="J179" s="51"/>
      <c r="K179" s="52"/>
      <c r="L179" s="53"/>
      <c r="M179" s="54"/>
    </row>
    <row r="180" spans="1:13" ht="13.5" customHeight="1">
      <c r="A180" s="43"/>
      <c r="B180" s="43"/>
      <c r="C180" s="43"/>
      <c r="D180" s="43"/>
      <c r="E180" s="43"/>
      <c r="F180" s="43"/>
      <c r="G180" s="43"/>
      <c r="H180" s="44"/>
      <c r="I180" s="50"/>
      <c r="J180" s="51"/>
      <c r="K180" s="52"/>
      <c r="L180" s="53"/>
      <c r="M180" s="54"/>
    </row>
    <row r="181" spans="1:13" ht="13.5" customHeight="1">
      <c r="A181" s="43"/>
      <c r="B181" s="43"/>
      <c r="C181" s="43"/>
      <c r="D181" s="43"/>
      <c r="E181" s="43"/>
      <c r="F181" s="43"/>
      <c r="G181" s="43"/>
      <c r="H181" s="44"/>
      <c r="I181" s="50"/>
      <c r="J181" s="51"/>
      <c r="K181" s="52"/>
      <c r="L181" s="53"/>
      <c r="M181" s="54"/>
    </row>
    <row r="182" spans="1:13" ht="13.5" customHeight="1">
      <c r="A182" s="43"/>
      <c r="B182" s="43"/>
      <c r="C182" s="43"/>
      <c r="D182" s="43"/>
      <c r="E182" s="43"/>
      <c r="F182" s="43"/>
      <c r="G182" s="43"/>
      <c r="H182" s="44"/>
      <c r="I182" s="50"/>
      <c r="J182" s="51"/>
      <c r="K182" s="52"/>
      <c r="L182" s="53"/>
      <c r="M182" s="54"/>
    </row>
    <row r="183" spans="1:13" ht="13.5" customHeight="1">
      <c r="A183" s="43"/>
      <c r="B183" s="43"/>
      <c r="C183" s="43"/>
      <c r="D183" s="43"/>
      <c r="E183" s="43"/>
      <c r="F183" s="43"/>
      <c r="G183" s="43"/>
      <c r="H183" s="44"/>
      <c r="I183" s="50"/>
      <c r="J183" s="51"/>
      <c r="K183" s="52"/>
      <c r="L183" s="53"/>
      <c r="M183" s="54"/>
    </row>
    <row r="184" spans="1:13" ht="13.5" customHeight="1">
      <c r="A184" s="43"/>
      <c r="B184" s="43"/>
      <c r="C184" s="43"/>
      <c r="D184" s="43"/>
      <c r="E184" s="43"/>
      <c r="F184" s="43"/>
      <c r="G184" s="43"/>
      <c r="H184" s="44"/>
      <c r="I184" s="50"/>
      <c r="J184" s="51"/>
      <c r="K184" s="52"/>
      <c r="L184" s="53"/>
      <c r="M184" s="54"/>
    </row>
    <row r="185" spans="1:13" ht="13.5" customHeight="1">
      <c r="A185" s="43"/>
      <c r="B185" s="43"/>
      <c r="C185" s="43"/>
      <c r="D185" s="43"/>
      <c r="E185" s="43"/>
      <c r="F185" s="43"/>
      <c r="G185" s="43"/>
      <c r="H185" s="44"/>
      <c r="I185" s="65"/>
      <c r="J185" s="51"/>
      <c r="K185" s="52"/>
      <c r="L185" s="53"/>
      <c r="M185" s="54"/>
    </row>
    <row r="186" spans="1:13" ht="13.5" customHeight="1">
      <c r="A186" s="43"/>
      <c r="B186" s="43"/>
      <c r="C186" s="43"/>
      <c r="D186" s="43"/>
      <c r="E186" s="43"/>
      <c r="F186" s="43"/>
      <c r="G186" s="43"/>
      <c r="H186" s="44"/>
      <c r="I186" s="65"/>
      <c r="J186" s="51"/>
      <c r="K186" s="52"/>
      <c r="L186" s="53"/>
      <c r="M186" s="54"/>
    </row>
    <row r="187" spans="1:13" ht="13.5" customHeight="1">
      <c r="A187" s="43"/>
      <c r="B187" s="43"/>
      <c r="C187" s="43"/>
      <c r="D187" s="43"/>
      <c r="E187" s="43"/>
      <c r="F187" s="43"/>
      <c r="G187" s="43"/>
      <c r="H187" s="44"/>
      <c r="I187" s="65"/>
      <c r="J187" s="51"/>
      <c r="K187" s="52"/>
      <c r="L187" s="53"/>
      <c r="M187" s="54"/>
    </row>
    <row r="188" spans="1:13" ht="13.5" customHeight="1">
      <c r="A188" s="43"/>
      <c r="B188" s="43"/>
      <c r="C188" s="43"/>
      <c r="D188" s="43"/>
      <c r="E188" s="43"/>
      <c r="F188" s="43"/>
      <c r="G188" s="43"/>
      <c r="H188" s="44"/>
      <c r="I188" s="65"/>
      <c r="J188" s="51"/>
      <c r="K188" s="52"/>
      <c r="L188" s="53"/>
      <c r="M188" s="54"/>
    </row>
    <row r="189" spans="1:13" ht="13.5" customHeight="1">
      <c r="A189" s="43"/>
      <c r="B189" s="43"/>
      <c r="C189" s="43"/>
      <c r="D189" s="43"/>
      <c r="E189" s="43"/>
      <c r="F189" s="43"/>
      <c r="G189" s="43"/>
      <c r="H189" s="44"/>
      <c r="I189" s="45"/>
      <c r="J189" s="46"/>
      <c r="K189" s="47"/>
      <c r="L189" s="48"/>
      <c r="M189" s="49"/>
    </row>
    <row r="190" spans="1:13" ht="13.5" customHeight="1">
      <c r="A190" s="43"/>
      <c r="B190" s="43"/>
      <c r="C190" s="43"/>
      <c r="D190" s="43"/>
      <c r="E190" s="43"/>
      <c r="F190" s="43"/>
      <c r="G190" s="43"/>
      <c r="H190" s="44"/>
      <c r="I190" s="50"/>
      <c r="J190" s="51"/>
      <c r="K190" s="52"/>
      <c r="L190" s="53"/>
      <c r="M190" s="54"/>
    </row>
    <row r="191" spans="1:13" ht="13.5" customHeight="1">
      <c r="A191" s="43"/>
      <c r="B191" s="43"/>
      <c r="C191" s="43"/>
      <c r="D191" s="43"/>
      <c r="E191" s="43"/>
      <c r="F191" s="43"/>
      <c r="G191" s="43"/>
      <c r="H191" s="44"/>
      <c r="I191" s="50"/>
      <c r="J191" s="51"/>
      <c r="K191" s="52"/>
      <c r="L191" s="53"/>
      <c r="M191" s="54"/>
    </row>
    <row r="192" spans="1:13" ht="13.5" customHeight="1">
      <c r="A192" s="43"/>
      <c r="B192" s="43"/>
      <c r="C192" s="43"/>
      <c r="D192" s="43"/>
      <c r="E192" s="43"/>
      <c r="F192" s="43"/>
      <c r="G192" s="43"/>
      <c r="H192" s="44"/>
      <c r="I192" s="50"/>
      <c r="J192" s="51"/>
      <c r="K192" s="52"/>
      <c r="L192" s="53"/>
      <c r="M192" s="54"/>
    </row>
    <row r="193" spans="1:13" ht="13.5" customHeight="1">
      <c r="A193" s="43"/>
      <c r="B193" s="43"/>
      <c r="C193" s="43"/>
      <c r="D193" s="43"/>
      <c r="E193" s="43"/>
      <c r="F193" s="43"/>
      <c r="G193" s="43"/>
      <c r="H193" s="44"/>
      <c r="I193" s="50"/>
      <c r="J193" s="51"/>
      <c r="K193" s="52"/>
      <c r="L193" s="53"/>
      <c r="M193" s="54"/>
    </row>
    <row r="194" spans="1:13" ht="13.5" customHeight="1">
      <c r="A194" s="43"/>
      <c r="B194" s="43"/>
      <c r="C194" s="43"/>
      <c r="D194" s="43"/>
      <c r="E194" s="43"/>
      <c r="F194" s="43"/>
      <c r="G194" s="43"/>
      <c r="H194" s="44"/>
      <c r="I194" s="50"/>
      <c r="J194" s="51"/>
      <c r="K194" s="52"/>
      <c r="L194" s="53"/>
      <c r="M194" s="54"/>
    </row>
    <row r="195" spans="1:13" ht="13.5" customHeight="1">
      <c r="A195" s="43"/>
      <c r="B195" s="43"/>
      <c r="C195" s="43"/>
      <c r="D195" s="43"/>
      <c r="E195" s="43"/>
      <c r="F195" s="43"/>
      <c r="G195" s="43"/>
      <c r="H195" s="44"/>
      <c r="I195" s="50"/>
      <c r="J195" s="51"/>
      <c r="K195" s="52"/>
      <c r="L195" s="53"/>
      <c r="M195" s="54"/>
    </row>
    <row r="196" spans="1:13" ht="13.5" customHeight="1">
      <c r="A196" s="43"/>
      <c r="B196" s="43"/>
      <c r="C196" s="43"/>
      <c r="D196" s="43"/>
      <c r="E196" s="43"/>
      <c r="F196" s="43"/>
      <c r="G196" s="43"/>
      <c r="H196" s="44"/>
      <c r="I196" s="50"/>
      <c r="J196" s="51"/>
      <c r="K196" s="52"/>
      <c r="L196" s="53"/>
      <c r="M196" s="54"/>
    </row>
    <row r="197" spans="1:13" ht="13.5" customHeight="1">
      <c r="A197" s="43"/>
      <c r="B197" s="43"/>
      <c r="C197" s="43"/>
      <c r="D197" s="43"/>
      <c r="E197" s="43"/>
      <c r="F197" s="43"/>
      <c r="G197" s="43"/>
      <c r="H197" s="44"/>
      <c r="I197" s="50"/>
      <c r="J197" s="51"/>
      <c r="K197" s="52"/>
      <c r="L197" s="53"/>
      <c r="M197" s="54"/>
    </row>
    <row r="198" spans="1:13" ht="13.5" customHeight="1">
      <c r="A198" s="43"/>
      <c r="B198" s="43"/>
      <c r="C198" s="43"/>
      <c r="D198" s="43"/>
      <c r="E198" s="43"/>
      <c r="F198" s="43"/>
      <c r="G198" s="43"/>
      <c r="H198" s="44"/>
      <c r="I198" s="50"/>
      <c r="J198" s="51"/>
      <c r="K198" s="52"/>
      <c r="L198" s="53"/>
      <c r="M198" s="54"/>
    </row>
    <row r="199" spans="1:13" ht="13.5" customHeight="1">
      <c r="A199" s="43"/>
      <c r="B199" s="43"/>
      <c r="C199" s="43"/>
      <c r="D199" s="43"/>
      <c r="E199" s="43"/>
      <c r="F199" s="43"/>
      <c r="G199" s="43"/>
      <c r="H199" s="44"/>
      <c r="I199" s="50"/>
      <c r="J199" s="51"/>
      <c r="K199" s="52"/>
      <c r="L199" s="53"/>
      <c r="M199" s="54"/>
    </row>
    <row r="200" spans="1:13" ht="13.5" customHeight="1">
      <c r="A200" s="43"/>
      <c r="B200" s="43"/>
      <c r="C200" s="43"/>
      <c r="D200" s="43"/>
      <c r="E200" s="43"/>
      <c r="F200" s="43"/>
      <c r="G200" s="43"/>
      <c r="H200" s="44"/>
      <c r="I200" s="50"/>
      <c r="J200" s="51"/>
      <c r="K200" s="52"/>
      <c r="L200" s="53"/>
      <c r="M200" s="54"/>
    </row>
    <row r="201" spans="1:13" ht="13.5" customHeight="1">
      <c r="A201" s="43"/>
      <c r="B201" s="43"/>
      <c r="C201" s="43"/>
      <c r="D201" s="43"/>
      <c r="E201" s="43"/>
      <c r="F201" s="43"/>
      <c r="G201" s="43"/>
      <c r="H201" s="44"/>
      <c r="I201" s="50"/>
      <c r="J201" s="51"/>
      <c r="K201" s="52"/>
      <c r="L201" s="53"/>
      <c r="M201" s="54"/>
    </row>
    <row r="202" spans="1:13" ht="13.5" customHeight="1">
      <c r="A202" s="43"/>
      <c r="B202" s="43"/>
      <c r="C202" s="43"/>
      <c r="D202" s="43"/>
      <c r="E202" s="43"/>
      <c r="F202" s="43"/>
      <c r="G202" s="43"/>
      <c r="H202" s="44"/>
      <c r="I202" s="50"/>
      <c r="J202" s="51"/>
      <c r="K202" s="52"/>
      <c r="L202" s="53"/>
      <c r="M202" s="54"/>
    </row>
    <row r="203" spans="1:13" ht="13.5" customHeight="1">
      <c r="A203" s="43"/>
      <c r="B203" s="43"/>
      <c r="C203" s="43"/>
      <c r="D203" s="43"/>
      <c r="E203" s="43"/>
      <c r="F203" s="43"/>
      <c r="G203" s="43"/>
      <c r="H203" s="44"/>
      <c r="I203" s="50"/>
      <c r="J203" s="51"/>
      <c r="K203" s="52"/>
      <c r="L203" s="53"/>
      <c r="M203" s="54"/>
    </row>
    <row r="204" spans="1:13" ht="13.5" customHeight="1">
      <c r="A204" s="43"/>
      <c r="B204" s="43"/>
      <c r="C204" s="43"/>
      <c r="D204" s="43"/>
      <c r="E204" s="43"/>
      <c r="F204" s="43"/>
      <c r="G204" s="43"/>
      <c r="H204" s="44"/>
      <c r="I204" s="50"/>
      <c r="J204" s="51"/>
      <c r="K204" s="52"/>
      <c r="L204" s="53"/>
      <c r="M204" s="54"/>
    </row>
    <row r="205" spans="1:13" ht="13.5" customHeight="1">
      <c r="A205" s="43"/>
      <c r="B205" s="43"/>
      <c r="C205" s="43"/>
      <c r="D205" s="43"/>
      <c r="E205" s="43"/>
      <c r="F205" s="43"/>
      <c r="G205" s="43"/>
      <c r="H205" s="44"/>
      <c r="I205" s="50"/>
      <c r="J205" s="51"/>
      <c r="K205" s="52"/>
      <c r="L205" s="53"/>
      <c r="M205" s="54"/>
    </row>
    <row r="206" spans="1:13" ht="13.5" customHeight="1">
      <c r="A206" s="43"/>
      <c r="B206" s="43"/>
      <c r="C206" s="43"/>
      <c r="D206" s="43"/>
      <c r="E206" s="43"/>
      <c r="F206" s="43"/>
      <c r="G206" s="43"/>
      <c r="H206" s="44"/>
      <c r="I206" s="45"/>
      <c r="J206" s="46"/>
      <c r="K206" s="47"/>
      <c r="L206" s="48"/>
      <c r="M206" s="49"/>
    </row>
    <row r="207" spans="1:13" ht="13.5" customHeight="1">
      <c r="A207" s="43"/>
      <c r="B207" s="43"/>
      <c r="C207" s="43"/>
      <c r="D207" s="43"/>
      <c r="E207" s="43"/>
      <c r="F207" s="43"/>
      <c r="G207" s="43"/>
      <c r="H207" s="44"/>
      <c r="I207" s="45"/>
      <c r="J207" s="46"/>
      <c r="K207" s="47"/>
      <c r="L207" s="48"/>
      <c r="M207" s="49"/>
    </row>
    <row r="208" spans="1:13" ht="13.5" customHeight="1">
      <c r="A208" s="43"/>
      <c r="B208" s="43"/>
      <c r="C208" s="43"/>
      <c r="D208" s="43"/>
      <c r="E208" s="43"/>
      <c r="F208" s="43"/>
      <c r="G208" s="43"/>
      <c r="H208" s="44"/>
      <c r="I208" s="45"/>
      <c r="J208" s="46"/>
      <c r="K208" s="47"/>
      <c r="L208" s="48"/>
      <c r="M208" s="49"/>
    </row>
    <row r="209" spans="1:13" ht="13.5" customHeight="1">
      <c r="A209" s="43"/>
      <c r="B209" s="43"/>
      <c r="C209" s="43"/>
      <c r="D209" s="43"/>
      <c r="E209" s="43"/>
      <c r="F209" s="43"/>
      <c r="G209" s="43"/>
      <c r="H209" s="44"/>
      <c r="I209" s="50"/>
      <c r="J209" s="51"/>
      <c r="K209" s="52"/>
      <c r="L209" s="53"/>
      <c r="M209" s="54"/>
    </row>
    <row r="210" spans="1:13" ht="13.5" customHeight="1">
      <c r="A210" s="43"/>
      <c r="B210" s="43"/>
      <c r="C210" s="43"/>
      <c r="D210" s="43"/>
      <c r="E210" s="43"/>
      <c r="F210" s="43"/>
      <c r="G210" s="43"/>
      <c r="H210" s="44"/>
      <c r="I210" s="50"/>
      <c r="J210" s="51"/>
      <c r="K210" s="52"/>
      <c r="L210" s="53"/>
      <c r="M210" s="54"/>
    </row>
    <row r="211" spans="1:13" ht="13.5" customHeight="1">
      <c r="A211" s="43"/>
      <c r="B211" s="43"/>
      <c r="C211" s="43"/>
      <c r="D211" s="43"/>
      <c r="E211" s="43"/>
      <c r="F211" s="43"/>
      <c r="G211" s="43"/>
      <c r="H211" s="44"/>
      <c r="I211" s="50"/>
      <c r="J211" s="51"/>
      <c r="K211" s="52"/>
      <c r="L211" s="53"/>
      <c r="M211" s="54"/>
    </row>
    <row r="212" spans="1:13" ht="13.5" customHeight="1">
      <c r="A212" s="43"/>
      <c r="B212" s="43"/>
      <c r="C212" s="43"/>
      <c r="D212" s="43"/>
      <c r="E212" s="43"/>
      <c r="F212" s="43"/>
      <c r="G212" s="43"/>
      <c r="H212" s="44"/>
      <c r="I212" s="50"/>
      <c r="J212" s="51"/>
      <c r="K212" s="52"/>
      <c r="L212" s="53"/>
      <c r="M212" s="54"/>
    </row>
    <row r="213" spans="1:13" ht="13.5" customHeight="1">
      <c r="A213" s="43"/>
      <c r="B213" s="43"/>
      <c r="C213" s="43"/>
      <c r="D213" s="43"/>
      <c r="E213" s="43"/>
      <c r="F213" s="43"/>
      <c r="G213" s="43"/>
      <c r="H213" s="44"/>
      <c r="I213" s="50"/>
      <c r="J213" s="51"/>
      <c r="K213" s="52"/>
      <c r="L213" s="53"/>
      <c r="M213" s="54"/>
    </row>
    <row r="214" spans="1:13" ht="13.5" customHeight="1">
      <c r="I214" s="54"/>
      <c r="J214" s="51"/>
      <c r="K214" s="52"/>
      <c r="L214" s="53"/>
      <c r="M214" s="54"/>
    </row>
    <row r="215" spans="1:13" ht="13.5" customHeight="1">
      <c r="I215" s="54"/>
      <c r="J215" s="51"/>
      <c r="K215" s="52"/>
      <c r="L215" s="53"/>
      <c r="M215" s="54"/>
    </row>
    <row r="216" spans="1:13" ht="13.5" customHeight="1">
      <c r="I216" s="13"/>
      <c r="K216" s="52"/>
      <c r="L216" s="53"/>
      <c r="M216" s="54"/>
    </row>
    <row r="217" spans="1:13" ht="13.5" customHeight="1">
      <c r="A217" s="43"/>
      <c r="B217" s="43"/>
      <c r="C217" s="43"/>
      <c r="D217" s="43"/>
      <c r="E217" s="43"/>
      <c r="F217" s="43"/>
      <c r="G217" s="43"/>
      <c r="H217" s="44"/>
      <c r="I217" s="50"/>
      <c r="J217" s="51"/>
      <c r="K217" s="52"/>
      <c r="L217" s="53"/>
      <c r="M217" s="54"/>
    </row>
    <row r="218" spans="1:13" ht="13.5" customHeight="1">
      <c r="A218" s="43"/>
      <c r="B218" s="43"/>
      <c r="C218" s="43"/>
      <c r="D218" s="43"/>
      <c r="E218" s="43"/>
      <c r="F218" s="43"/>
      <c r="G218" s="43"/>
      <c r="H218" s="44"/>
      <c r="I218" s="50"/>
      <c r="J218" s="51"/>
      <c r="K218" s="52"/>
      <c r="L218" s="53"/>
      <c r="M218" s="54"/>
    </row>
    <row r="219" spans="1:13" ht="13.5" customHeight="1">
      <c r="A219" s="43"/>
      <c r="B219" s="43"/>
      <c r="C219" s="43"/>
      <c r="D219" s="43"/>
      <c r="E219" s="43"/>
      <c r="F219" s="43"/>
      <c r="G219" s="43"/>
      <c r="H219" s="44"/>
      <c r="I219" s="50"/>
      <c r="J219" s="51"/>
      <c r="K219" s="52"/>
      <c r="L219" s="53"/>
      <c r="M219" s="54"/>
    </row>
    <row r="220" spans="1:13" ht="13.5" customHeight="1">
      <c r="A220" s="43"/>
      <c r="B220" s="43"/>
      <c r="C220" s="43"/>
      <c r="D220" s="43"/>
      <c r="E220" s="43"/>
      <c r="F220" s="43"/>
      <c r="G220" s="43"/>
      <c r="H220" s="44"/>
      <c r="I220" s="50"/>
      <c r="J220" s="51"/>
      <c r="K220" s="52"/>
      <c r="L220" s="53"/>
      <c r="M220" s="54"/>
    </row>
    <row r="221" spans="1:13" ht="13.5" customHeight="1">
      <c r="A221" s="43"/>
      <c r="B221" s="43"/>
      <c r="C221" s="43"/>
      <c r="D221" s="43"/>
      <c r="E221" s="43"/>
      <c r="F221" s="43"/>
      <c r="G221" s="43"/>
      <c r="H221" s="44"/>
      <c r="I221" s="50"/>
      <c r="J221" s="51"/>
      <c r="K221" s="52"/>
      <c r="L221" s="53"/>
      <c r="M221" s="54"/>
    </row>
    <row r="222" spans="1:13" ht="13.5" customHeight="1">
      <c r="A222" s="43"/>
      <c r="B222" s="43"/>
      <c r="C222" s="43"/>
      <c r="D222" s="43"/>
      <c r="E222" s="43"/>
      <c r="F222" s="43"/>
      <c r="G222" s="43"/>
      <c r="H222" s="44"/>
      <c r="I222" s="45"/>
      <c r="J222" s="46"/>
      <c r="K222" s="47"/>
      <c r="L222" s="48"/>
      <c r="M222" s="49"/>
    </row>
    <row r="223" spans="1:13" ht="13.5" customHeight="1">
      <c r="A223" s="43"/>
      <c r="B223" s="43"/>
      <c r="C223" s="43"/>
      <c r="D223" s="43"/>
      <c r="E223" s="43"/>
      <c r="F223" s="43"/>
      <c r="G223" s="43"/>
      <c r="H223" s="44"/>
      <c r="I223" s="45"/>
      <c r="J223" s="46"/>
      <c r="K223" s="52"/>
      <c r="L223" s="53"/>
      <c r="M223" s="54"/>
    </row>
    <row r="224" spans="1:13" ht="13.5" customHeight="1">
      <c r="A224" s="43"/>
      <c r="B224" s="43"/>
      <c r="C224" s="43"/>
      <c r="D224" s="43"/>
      <c r="E224" s="43"/>
      <c r="F224" s="43"/>
      <c r="G224" s="43"/>
      <c r="H224" s="44"/>
      <c r="I224" s="45"/>
      <c r="J224" s="46"/>
      <c r="K224" s="52"/>
      <c r="L224" s="53"/>
      <c r="M224" s="54"/>
    </row>
    <row r="225" spans="1:13" ht="13.5" customHeight="1">
      <c r="A225" s="43"/>
      <c r="B225" s="43"/>
      <c r="C225" s="43"/>
      <c r="D225" s="43"/>
      <c r="E225" s="43"/>
      <c r="F225" s="43"/>
      <c r="G225" s="43"/>
      <c r="H225" s="44"/>
      <c r="I225" s="50"/>
      <c r="J225" s="51"/>
      <c r="K225" s="52"/>
      <c r="L225" s="53"/>
      <c r="M225" s="54"/>
    </row>
    <row r="226" spans="1:13" ht="12.75">
      <c r="A226" s="43"/>
      <c r="B226" s="43"/>
      <c r="C226" s="43"/>
      <c r="D226" s="43"/>
      <c r="E226" s="43"/>
      <c r="F226" s="43"/>
      <c r="G226" s="43"/>
      <c r="H226" s="44"/>
      <c r="I226" s="50"/>
      <c r="J226" s="51"/>
      <c r="K226" s="52"/>
      <c r="L226" s="53"/>
      <c r="M226" s="54"/>
    </row>
    <row r="227" spans="1:13" ht="12.75">
      <c r="A227" s="43"/>
      <c r="B227" s="43"/>
      <c r="C227" s="43"/>
      <c r="D227" s="43"/>
      <c r="E227" s="43"/>
      <c r="F227" s="43"/>
      <c r="G227" s="43"/>
      <c r="H227" s="44"/>
      <c r="I227" s="50"/>
      <c r="J227" s="51"/>
      <c r="K227" s="52"/>
      <c r="L227" s="53"/>
      <c r="M227" s="54"/>
    </row>
    <row r="228" spans="1:13" ht="12.75">
      <c r="A228" s="43"/>
      <c r="B228" s="43"/>
      <c r="C228" s="43"/>
      <c r="D228" s="43"/>
      <c r="E228" s="43"/>
      <c r="F228" s="43"/>
      <c r="G228" s="43"/>
      <c r="H228" s="44"/>
      <c r="I228" s="50"/>
      <c r="J228" s="51"/>
      <c r="K228" s="52"/>
      <c r="L228" s="53"/>
      <c r="M228" s="54"/>
    </row>
    <row r="229" spans="1:13" ht="12.75">
      <c r="A229" s="43"/>
      <c r="B229" s="43"/>
      <c r="C229" s="43"/>
      <c r="D229" s="43"/>
      <c r="E229" s="43"/>
      <c r="F229" s="43"/>
      <c r="G229" s="43"/>
      <c r="H229" s="44"/>
      <c r="I229" s="50"/>
      <c r="J229" s="51"/>
      <c r="K229" s="52"/>
      <c r="L229" s="53"/>
      <c r="M229" s="54"/>
    </row>
    <row r="230" spans="1:13" ht="12.75">
      <c r="A230" s="43"/>
      <c r="B230" s="43"/>
      <c r="C230" s="43"/>
      <c r="D230" s="43"/>
      <c r="E230" s="43"/>
      <c r="F230" s="43"/>
      <c r="G230" s="43"/>
      <c r="H230" s="44"/>
      <c r="I230" s="50"/>
      <c r="J230" s="51"/>
      <c r="K230" s="52"/>
      <c r="L230" s="53"/>
      <c r="M230" s="54"/>
    </row>
    <row r="231" spans="1:13" ht="12.75">
      <c r="A231" s="43"/>
      <c r="B231" s="43"/>
      <c r="C231" s="43"/>
      <c r="D231" s="43"/>
      <c r="E231" s="43"/>
      <c r="F231" s="43"/>
      <c r="G231" s="43"/>
      <c r="H231" s="44"/>
      <c r="I231" s="50"/>
      <c r="J231" s="51"/>
      <c r="K231" s="52"/>
      <c r="L231" s="53"/>
      <c r="M231" s="54"/>
    </row>
    <row r="232" spans="1:13" ht="12.75">
      <c r="A232" s="43"/>
      <c r="B232" s="43"/>
      <c r="C232" s="43"/>
      <c r="D232" s="43"/>
      <c r="E232" s="43"/>
      <c r="F232" s="43"/>
      <c r="G232" s="43"/>
      <c r="H232" s="44"/>
      <c r="I232" s="50"/>
      <c r="J232" s="51"/>
      <c r="K232" s="52"/>
      <c r="L232" s="53"/>
      <c r="M232" s="54"/>
    </row>
    <row r="233" spans="1:13" ht="12.75">
      <c r="A233" s="43"/>
      <c r="B233" s="43"/>
      <c r="C233" s="43"/>
      <c r="D233" s="43"/>
      <c r="E233" s="43"/>
      <c r="F233" s="43"/>
      <c r="G233" s="43"/>
      <c r="H233" s="44"/>
      <c r="I233" s="50"/>
      <c r="J233" s="51"/>
      <c r="K233" s="52"/>
      <c r="L233" s="53"/>
      <c r="M233" s="54"/>
    </row>
    <row r="234" spans="1:13" ht="12.75">
      <c r="A234" s="43"/>
      <c r="B234" s="43"/>
      <c r="C234" s="43"/>
      <c r="D234" s="43"/>
      <c r="E234" s="43"/>
      <c r="F234" s="43"/>
      <c r="G234" s="43"/>
      <c r="H234" s="44"/>
      <c r="I234" s="45"/>
      <c r="J234" s="46"/>
      <c r="K234" s="47"/>
      <c r="L234" s="48"/>
      <c r="M234" s="49"/>
    </row>
    <row r="235" spans="1:13" ht="12.75">
      <c r="I235" s="13"/>
    </row>
    <row r="236" spans="1:13" ht="12.75">
      <c r="I236" s="13"/>
    </row>
    <row r="237" spans="1:13" ht="12.75">
      <c r="A237" s="43"/>
      <c r="B237" s="43"/>
      <c r="C237" s="43"/>
      <c r="D237" s="43"/>
      <c r="E237" s="43"/>
      <c r="F237" s="43"/>
      <c r="G237" s="43"/>
      <c r="H237" s="44"/>
      <c r="I237" s="54"/>
      <c r="J237" s="51"/>
      <c r="K237" s="52"/>
      <c r="L237" s="53"/>
      <c r="M237" s="54"/>
    </row>
    <row r="238" spans="1:13" ht="12.75">
      <c r="A238" s="43"/>
      <c r="B238" s="43"/>
      <c r="C238" s="43"/>
      <c r="D238" s="43"/>
      <c r="E238" s="43"/>
      <c r="F238" s="43"/>
      <c r="G238" s="43"/>
      <c r="H238" s="44"/>
      <c r="I238" s="50"/>
      <c r="J238" s="51"/>
      <c r="K238" s="52"/>
      <c r="L238" s="53"/>
      <c r="M238" s="54"/>
    </row>
    <row r="239" spans="1:13" ht="12.75">
      <c r="A239" s="43"/>
      <c r="B239" s="43"/>
      <c r="C239" s="43"/>
      <c r="D239" s="43"/>
      <c r="E239" s="43"/>
      <c r="F239" s="43"/>
      <c r="G239" s="43"/>
      <c r="H239" s="44"/>
      <c r="I239" s="50"/>
      <c r="J239" s="51"/>
      <c r="K239" s="52"/>
      <c r="L239" s="53"/>
      <c r="M239" s="54"/>
    </row>
    <row r="240" spans="1:13" ht="12.75">
      <c r="I240" s="13"/>
      <c r="K240" s="52"/>
      <c r="L240" s="53"/>
      <c r="M240" s="54"/>
    </row>
    <row r="241" spans="1:13" ht="12.75">
      <c r="I241" s="13"/>
      <c r="K241" s="52"/>
      <c r="L241" s="53"/>
      <c r="M241" s="54"/>
    </row>
    <row r="242" spans="1:13" ht="12.75">
      <c r="A242" s="43"/>
      <c r="B242" s="43"/>
      <c r="C242" s="43"/>
      <c r="D242" s="43"/>
      <c r="E242" s="43"/>
      <c r="F242" s="43"/>
      <c r="G242" s="43"/>
      <c r="H242" s="44"/>
      <c r="I242" s="45"/>
      <c r="J242" s="46"/>
      <c r="K242" s="47"/>
      <c r="L242" s="48"/>
      <c r="M242" s="49"/>
    </row>
    <row r="243" spans="1:13" ht="12.75">
      <c r="A243" s="43"/>
      <c r="B243" s="43"/>
      <c r="C243" s="43"/>
      <c r="D243" s="43"/>
      <c r="E243" s="43"/>
      <c r="F243" s="43"/>
      <c r="G243" s="43"/>
      <c r="H243" s="44"/>
      <c r="I243" s="45"/>
      <c r="J243" s="46"/>
      <c r="K243" s="47"/>
      <c r="L243" s="48"/>
      <c r="M243" s="49"/>
    </row>
    <row r="244" spans="1:13" ht="12.75">
      <c r="A244" s="43"/>
      <c r="B244" s="43"/>
      <c r="C244" s="43"/>
      <c r="D244" s="43"/>
      <c r="E244" s="43"/>
      <c r="F244" s="43"/>
      <c r="G244" s="43"/>
      <c r="H244" s="44"/>
      <c r="I244" s="45"/>
      <c r="J244" s="46"/>
      <c r="K244" s="47"/>
      <c r="L244" s="48"/>
      <c r="M244" s="49"/>
    </row>
    <row r="245" spans="1:13" ht="12.75">
      <c r="A245" s="43"/>
      <c r="B245" s="43"/>
      <c r="C245" s="43"/>
      <c r="D245" s="43"/>
      <c r="E245" s="43"/>
      <c r="F245" s="43"/>
      <c r="G245" s="43"/>
      <c r="H245" s="44"/>
      <c r="I245" s="45"/>
      <c r="J245" s="46"/>
      <c r="K245" s="47"/>
      <c r="L245" s="48"/>
      <c r="M245" s="49"/>
    </row>
    <row r="246" spans="1:13" ht="12.75"/>
    <row r="247" spans="1:13" ht="12.75">
      <c r="A247" s="43"/>
      <c r="B247" s="43"/>
      <c r="C247" s="43"/>
      <c r="D247" s="43"/>
      <c r="E247" s="43"/>
      <c r="F247" s="43"/>
      <c r="G247" s="43"/>
      <c r="H247" s="44"/>
      <c r="I247" s="45"/>
      <c r="J247" s="46"/>
      <c r="K247" s="47"/>
      <c r="L247" s="48"/>
      <c r="M247" s="49"/>
    </row>
    <row r="248" spans="1:13" ht="12.75">
      <c r="A248" s="43"/>
      <c r="B248" s="43"/>
      <c r="C248" s="43"/>
      <c r="D248" s="43"/>
      <c r="E248" s="43"/>
      <c r="F248" s="43"/>
      <c r="G248" s="43"/>
      <c r="H248" s="44"/>
      <c r="I248" s="50"/>
      <c r="J248" s="51"/>
      <c r="K248" s="52"/>
      <c r="L248" s="53"/>
      <c r="M248" s="54"/>
    </row>
    <row r="249" spans="1:13" ht="12.75">
      <c r="A249" s="43"/>
      <c r="B249" s="43"/>
      <c r="C249" s="43"/>
      <c r="D249" s="43"/>
      <c r="E249" s="43"/>
      <c r="F249" s="43"/>
      <c r="G249" s="43"/>
      <c r="H249" s="44"/>
      <c r="I249" s="50"/>
      <c r="J249" s="51"/>
      <c r="K249" s="52"/>
      <c r="L249" s="53"/>
      <c r="M249" s="54"/>
    </row>
    <row r="250" spans="1:13" ht="12.75">
      <c r="A250" s="43"/>
      <c r="B250" s="43"/>
      <c r="C250" s="43"/>
      <c r="D250" s="43"/>
      <c r="E250" s="43"/>
      <c r="F250" s="43"/>
      <c r="G250" s="43"/>
      <c r="H250" s="44"/>
      <c r="I250" s="50"/>
      <c r="J250" s="51"/>
      <c r="K250" s="52"/>
      <c r="L250" s="53"/>
      <c r="M250" s="54"/>
    </row>
    <row r="251" spans="1:13" ht="12.75">
      <c r="A251" s="43"/>
      <c r="B251" s="43"/>
      <c r="C251" s="43"/>
      <c r="D251" s="43"/>
      <c r="E251" s="43"/>
      <c r="F251" s="43"/>
      <c r="G251" s="43"/>
      <c r="H251" s="44"/>
      <c r="I251" s="50"/>
      <c r="J251" s="51"/>
      <c r="K251" s="52"/>
      <c r="L251" s="53"/>
      <c r="M251" s="54"/>
    </row>
    <row r="252" spans="1:13" ht="12.75">
      <c r="A252" s="43"/>
      <c r="B252" s="43"/>
      <c r="C252" s="43"/>
      <c r="D252" s="43"/>
      <c r="E252" s="43"/>
      <c r="F252" s="43"/>
      <c r="G252" s="43"/>
      <c r="H252" s="44"/>
      <c r="I252" s="45"/>
      <c r="J252" s="46"/>
      <c r="K252" s="47"/>
      <c r="L252" s="48"/>
      <c r="M252" s="49"/>
    </row>
    <row r="253" spans="1:13" ht="12.75">
      <c r="A253" s="43"/>
      <c r="B253" s="43"/>
      <c r="C253" s="43"/>
      <c r="D253" s="43"/>
      <c r="E253" s="43"/>
      <c r="F253" s="43"/>
      <c r="G253" s="43"/>
      <c r="H253" s="44"/>
      <c r="I253" s="50"/>
      <c r="J253" s="51"/>
      <c r="K253" s="52"/>
      <c r="L253" s="53"/>
      <c r="M253" s="54"/>
    </row>
    <row r="254" spans="1:13" ht="12.75">
      <c r="A254" s="43"/>
      <c r="B254" s="43"/>
      <c r="C254" s="43"/>
      <c r="D254" s="43"/>
      <c r="E254" s="43"/>
      <c r="F254" s="43"/>
      <c r="G254" s="43"/>
      <c r="H254" s="44"/>
      <c r="I254" s="50"/>
      <c r="J254" s="51"/>
      <c r="K254" s="52"/>
      <c r="L254" s="53"/>
      <c r="M254" s="54"/>
    </row>
    <row r="255" spans="1:13" ht="12.75">
      <c r="A255" s="43"/>
      <c r="B255" s="43"/>
      <c r="C255" s="43"/>
      <c r="D255" s="43"/>
      <c r="E255" s="43"/>
      <c r="F255" s="43"/>
      <c r="G255" s="43"/>
      <c r="H255" s="44"/>
      <c r="I255" s="50"/>
      <c r="J255" s="51"/>
      <c r="K255" s="52"/>
      <c r="L255" s="53"/>
      <c r="M255" s="54"/>
    </row>
    <row r="256" spans="1:13" ht="12.75">
      <c r="A256" s="43"/>
      <c r="B256" s="43"/>
      <c r="C256" s="43"/>
      <c r="D256" s="43"/>
      <c r="E256" s="43"/>
      <c r="F256" s="43"/>
      <c r="G256" s="43"/>
      <c r="H256" s="44"/>
      <c r="I256" s="50"/>
      <c r="J256" s="51"/>
      <c r="K256" s="52"/>
      <c r="L256" s="53"/>
      <c r="M256" s="54"/>
    </row>
    <row r="257" spans="1:13" ht="12.75">
      <c r="A257" s="43"/>
      <c r="B257" s="43"/>
      <c r="C257" s="43"/>
      <c r="D257" s="43"/>
      <c r="E257" s="43"/>
      <c r="F257" s="43"/>
      <c r="G257" s="43"/>
      <c r="H257" s="44"/>
      <c r="I257" s="50"/>
      <c r="J257" s="51"/>
      <c r="K257" s="52"/>
      <c r="L257" s="53"/>
      <c r="M257" s="54"/>
    </row>
    <row r="258" spans="1:13" ht="12.75">
      <c r="A258" s="43"/>
      <c r="B258" s="43"/>
      <c r="C258" s="43"/>
      <c r="D258" s="43"/>
      <c r="E258" s="43"/>
      <c r="F258" s="43"/>
      <c r="G258" s="43"/>
      <c r="H258" s="44"/>
      <c r="I258" s="50"/>
      <c r="J258" s="51"/>
      <c r="K258" s="52"/>
      <c r="L258" s="53"/>
      <c r="M258" s="54"/>
    </row>
    <row r="259" spans="1:13" ht="12.75">
      <c r="A259" s="43"/>
      <c r="B259" s="43"/>
      <c r="C259" s="43"/>
      <c r="D259" s="43"/>
      <c r="E259" s="43"/>
      <c r="F259" s="43"/>
      <c r="G259" s="43"/>
      <c r="H259" s="44"/>
      <c r="I259" s="50"/>
      <c r="J259" s="51"/>
      <c r="K259" s="52"/>
      <c r="L259" s="53"/>
      <c r="M259" s="54"/>
    </row>
    <row r="260" spans="1:13" ht="12.75">
      <c r="A260" s="43"/>
      <c r="B260" s="43"/>
      <c r="C260" s="43"/>
      <c r="D260" s="43"/>
      <c r="E260" s="43"/>
      <c r="F260" s="43"/>
      <c r="G260" s="43"/>
      <c r="H260" s="44"/>
      <c r="I260" s="50"/>
      <c r="J260" s="51"/>
      <c r="K260" s="52"/>
      <c r="L260" s="53"/>
      <c r="M260" s="54"/>
    </row>
    <row r="261" spans="1:13" ht="12.75">
      <c r="A261" s="43"/>
      <c r="B261" s="43"/>
      <c r="C261" s="43"/>
      <c r="D261" s="43"/>
      <c r="E261" s="43"/>
      <c r="F261" s="43"/>
      <c r="G261" s="43"/>
      <c r="H261" s="44"/>
      <c r="I261" s="50"/>
      <c r="J261" s="51"/>
      <c r="K261" s="52"/>
      <c r="L261" s="53"/>
      <c r="M261" s="54"/>
    </row>
    <row r="262" spans="1:13" ht="12.75">
      <c r="A262" s="43"/>
      <c r="B262" s="43"/>
      <c r="C262" s="43"/>
      <c r="D262" s="43"/>
      <c r="E262" s="43"/>
      <c r="F262" s="43"/>
      <c r="G262" s="43"/>
      <c r="H262" s="44"/>
      <c r="I262" s="50"/>
      <c r="J262" s="51"/>
      <c r="K262" s="52"/>
      <c r="L262" s="53"/>
      <c r="M262" s="54"/>
    </row>
    <row r="263" spans="1:13" ht="12.75">
      <c r="A263" s="43"/>
      <c r="B263" s="43"/>
      <c r="C263" s="43"/>
      <c r="D263" s="43"/>
      <c r="E263" s="43"/>
      <c r="F263" s="43"/>
      <c r="G263" s="43"/>
      <c r="H263" s="44"/>
      <c r="I263" s="50"/>
      <c r="J263" s="51"/>
      <c r="K263" s="52"/>
      <c r="L263" s="53"/>
      <c r="M263" s="54"/>
    </row>
    <row r="264" spans="1:13" ht="12.75">
      <c r="A264" s="43"/>
      <c r="B264" s="43"/>
      <c r="C264" s="43"/>
      <c r="D264" s="43"/>
      <c r="E264" s="43"/>
      <c r="F264" s="43"/>
      <c r="G264" s="43"/>
      <c r="H264" s="44"/>
      <c r="I264" s="50"/>
      <c r="J264" s="51"/>
      <c r="K264" s="52"/>
      <c r="L264" s="53"/>
      <c r="M264" s="54"/>
    </row>
    <row r="265" spans="1:13" ht="12.75">
      <c r="A265" s="43"/>
      <c r="B265" s="43"/>
      <c r="C265" s="43"/>
      <c r="D265" s="43"/>
      <c r="E265" s="43"/>
      <c r="F265" s="43"/>
      <c r="G265" s="43"/>
      <c r="H265" s="44"/>
      <c r="I265" s="50"/>
      <c r="J265" s="51"/>
      <c r="K265" s="52"/>
      <c r="L265" s="53"/>
      <c r="M265" s="54"/>
    </row>
    <row r="266" spans="1:13" ht="12.75">
      <c r="A266" s="43"/>
      <c r="B266" s="43"/>
      <c r="C266" s="43"/>
      <c r="D266" s="43"/>
      <c r="E266" s="43"/>
      <c r="F266" s="43"/>
      <c r="G266" s="43"/>
      <c r="H266" s="44"/>
      <c r="I266" s="45"/>
      <c r="J266" s="46"/>
      <c r="K266" s="47"/>
      <c r="L266" s="48"/>
      <c r="M266" s="49"/>
    </row>
    <row r="267" spans="1:13" ht="12.75">
      <c r="A267" s="43"/>
      <c r="B267" s="43"/>
      <c r="C267" s="43"/>
      <c r="D267" s="43"/>
      <c r="E267" s="43"/>
      <c r="F267" s="43"/>
      <c r="G267" s="43"/>
      <c r="H267" s="44"/>
      <c r="I267" s="50"/>
      <c r="J267" s="51"/>
      <c r="K267" s="52"/>
      <c r="L267" s="53"/>
      <c r="M267" s="54"/>
    </row>
    <row r="268" spans="1:13" ht="12.75">
      <c r="A268" s="43"/>
      <c r="B268" s="43"/>
      <c r="C268" s="43"/>
      <c r="D268" s="43"/>
      <c r="E268" s="43"/>
      <c r="F268" s="43"/>
      <c r="G268" s="43"/>
      <c r="H268" s="44"/>
      <c r="I268" s="50"/>
      <c r="J268" s="51"/>
      <c r="K268" s="52"/>
      <c r="L268" s="53"/>
      <c r="M268" s="54"/>
    </row>
    <row r="269" spans="1:13" ht="12.75">
      <c r="A269" s="43"/>
      <c r="B269" s="43"/>
      <c r="C269" s="43"/>
      <c r="D269" s="43"/>
      <c r="E269" s="43"/>
      <c r="F269" s="43"/>
      <c r="G269" s="43"/>
      <c r="H269" s="44"/>
      <c r="I269" s="50"/>
      <c r="J269" s="51"/>
      <c r="K269" s="52"/>
      <c r="L269" s="53"/>
      <c r="M269" s="54"/>
    </row>
    <row r="270" spans="1:13" ht="12.75">
      <c r="A270" s="43"/>
      <c r="B270" s="43"/>
      <c r="C270" s="43"/>
      <c r="D270" s="43"/>
      <c r="E270" s="43"/>
      <c r="F270" s="43"/>
      <c r="G270" s="43"/>
      <c r="H270" s="44"/>
      <c r="I270" s="50"/>
      <c r="J270" s="51"/>
      <c r="K270" s="66"/>
      <c r="L270" s="67"/>
      <c r="M270" s="68"/>
    </row>
    <row r="271" spans="1:13" ht="12.75">
      <c r="A271" s="43"/>
      <c r="B271" s="43"/>
      <c r="C271" s="43"/>
      <c r="D271" s="43"/>
      <c r="E271" s="43"/>
      <c r="F271" s="43"/>
      <c r="G271" s="43"/>
      <c r="H271" s="44"/>
      <c r="I271" s="50"/>
      <c r="J271" s="51"/>
      <c r="K271" s="52"/>
      <c r="L271" s="53"/>
      <c r="M271" s="54"/>
    </row>
    <row r="272" spans="1:13" ht="12.75">
      <c r="A272" s="43"/>
      <c r="B272" s="43"/>
      <c r="C272" s="43"/>
      <c r="D272" s="43"/>
      <c r="E272" s="43"/>
      <c r="F272" s="43"/>
      <c r="G272" s="43"/>
      <c r="H272" s="44"/>
      <c r="I272" s="50"/>
      <c r="J272" s="51"/>
      <c r="K272" s="52"/>
      <c r="L272" s="53"/>
      <c r="M272" s="54"/>
    </row>
    <row r="273" spans="1:13" ht="12.75">
      <c r="A273" s="43"/>
      <c r="B273" s="43"/>
      <c r="C273" s="43"/>
      <c r="D273" s="43"/>
      <c r="E273" s="43"/>
      <c r="F273" s="43"/>
      <c r="G273" s="43"/>
      <c r="H273" s="44"/>
      <c r="I273" s="50"/>
      <c r="J273" s="51"/>
      <c r="K273" s="52"/>
      <c r="L273" s="53"/>
      <c r="M273" s="54"/>
    </row>
    <row r="274" spans="1:13" ht="12.75">
      <c r="A274" s="43"/>
      <c r="B274" s="43"/>
      <c r="C274" s="43"/>
      <c r="D274" s="43"/>
      <c r="E274" s="43"/>
      <c r="F274" s="43"/>
      <c r="G274" s="43"/>
      <c r="H274" s="44"/>
      <c r="I274" s="50"/>
      <c r="J274" s="51"/>
      <c r="K274" s="52"/>
      <c r="L274" s="53"/>
      <c r="M274" s="54"/>
    </row>
    <row r="275" spans="1:13" ht="12.75">
      <c r="A275" s="43"/>
      <c r="B275" s="43"/>
      <c r="C275" s="43"/>
      <c r="D275" s="43"/>
      <c r="E275" s="43"/>
      <c r="F275" s="43"/>
      <c r="G275" s="43"/>
      <c r="H275" s="44"/>
      <c r="I275" s="50"/>
      <c r="J275" s="51"/>
      <c r="K275" s="66"/>
      <c r="L275" s="67"/>
      <c r="M275" s="68"/>
    </row>
    <row r="276" spans="1:13" ht="12.75">
      <c r="A276" s="43"/>
      <c r="B276" s="43"/>
      <c r="C276" s="43"/>
      <c r="D276" s="43"/>
      <c r="E276" s="43"/>
      <c r="F276" s="43"/>
      <c r="G276" s="43"/>
      <c r="H276" s="44"/>
      <c r="I276" s="50"/>
      <c r="J276" s="51"/>
      <c r="K276" s="52"/>
      <c r="L276" s="53"/>
      <c r="M276" s="54"/>
    </row>
    <row r="277" spans="1:13" ht="12.75">
      <c r="A277" s="43"/>
      <c r="B277" s="43"/>
      <c r="C277" s="43"/>
      <c r="D277" s="43"/>
      <c r="E277" s="43"/>
      <c r="F277" s="43"/>
      <c r="G277" s="43"/>
      <c r="H277" s="44"/>
      <c r="I277" s="50"/>
      <c r="J277" s="51"/>
      <c r="K277" s="52"/>
      <c r="L277" s="53"/>
      <c r="M277" s="54"/>
    </row>
    <row r="278" spans="1:13" ht="12.75">
      <c r="A278" s="43"/>
      <c r="B278" s="43"/>
      <c r="C278" s="43"/>
      <c r="D278" s="43"/>
      <c r="E278" s="43"/>
      <c r="F278" s="43"/>
      <c r="G278" s="43"/>
      <c r="H278" s="44"/>
      <c r="I278" s="50"/>
      <c r="J278" s="51"/>
      <c r="K278" s="52"/>
      <c r="L278" s="53"/>
      <c r="M278" s="54"/>
    </row>
    <row r="279" spans="1:13" ht="12.75">
      <c r="A279" s="43"/>
      <c r="B279" s="43"/>
      <c r="C279" s="43"/>
      <c r="D279" s="43"/>
      <c r="E279" s="43"/>
      <c r="F279" s="43"/>
      <c r="G279" s="43"/>
      <c r="H279" s="44"/>
      <c r="I279" s="50"/>
      <c r="J279" s="51"/>
      <c r="K279" s="52"/>
      <c r="L279" s="53"/>
      <c r="M279" s="54"/>
    </row>
    <row r="280" spans="1:13" ht="12.75">
      <c r="A280" s="43"/>
      <c r="B280" s="43"/>
      <c r="C280" s="43"/>
      <c r="D280" s="43"/>
      <c r="E280" s="43"/>
      <c r="F280" s="43"/>
      <c r="G280" s="43"/>
      <c r="H280" s="44"/>
      <c r="I280" s="50"/>
      <c r="J280" s="51"/>
      <c r="K280" s="52"/>
      <c r="L280" s="53"/>
      <c r="M280" s="54"/>
    </row>
    <row r="281" spans="1:13" ht="12.75">
      <c r="A281" s="43"/>
      <c r="B281" s="43"/>
      <c r="C281" s="43"/>
      <c r="D281" s="43"/>
      <c r="E281" s="43"/>
      <c r="F281" s="43"/>
      <c r="G281" s="43"/>
      <c r="H281" s="44"/>
      <c r="I281" s="50"/>
      <c r="J281" s="51"/>
      <c r="K281" s="52"/>
      <c r="L281" s="53"/>
      <c r="M281" s="54"/>
    </row>
    <row r="282" spans="1:13" ht="12.75">
      <c r="A282" s="43"/>
      <c r="B282" s="43"/>
      <c r="C282" s="43"/>
      <c r="D282" s="43"/>
      <c r="E282" s="43"/>
      <c r="F282" s="43"/>
      <c r="G282" s="43"/>
      <c r="H282" s="44"/>
      <c r="I282" s="50"/>
      <c r="J282" s="51"/>
      <c r="K282" s="52"/>
      <c r="L282" s="53"/>
      <c r="M282" s="54"/>
    </row>
    <row r="283" spans="1:13" ht="12.75">
      <c r="A283" s="43"/>
      <c r="B283" s="43"/>
      <c r="C283" s="43"/>
      <c r="D283" s="43"/>
      <c r="E283" s="43"/>
      <c r="F283" s="43"/>
      <c r="G283" s="43"/>
      <c r="H283" s="44"/>
      <c r="I283" s="50"/>
      <c r="J283" s="51"/>
      <c r="K283" s="52"/>
      <c r="L283" s="53"/>
      <c r="M283" s="54"/>
    </row>
    <row r="284" spans="1:13" ht="12.75">
      <c r="A284" s="43"/>
      <c r="B284" s="43"/>
      <c r="C284" s="43"/>
      <c r="D284" s="43"/>
      <c r="E284" s="43"/>
      <c r="F284" s="43"/>
      <c r="G284" s="43"/>
      <c r="H284" s="44"/>
      <c r="I284" s="50"/>
      <c r="J284" s="51"/>
      <c r="K284" s="52"/>
      <c r="L284" s="53"/>
      <c r="M284" s="54"/>
    </row>
    <row r="285" spans="1:13" ht="12.75">
      <c r="A285" s="43"/>
      <c r="B285" s="43"/>
      <c r="C285" s="43"/>
      <c r="D285" s="43"/>
      <c r="E285" s="43"/>
      <c r="F285" s="43"/>
      <c r="G285" s="43"/>
      <c r="H285" s="44"/>
      <c r="I285" s="50"/>
      <c r="J285" s="51"/>
      <c r="K285" s="52"/>
      <c r="L285" s="53"/>
      <c r="M285" s="54"/>
    </row>
    <row r="286" spans="1:13" ht="12.75">
      <c r="A286" s="43"/>
      <c r="B286" s="43"/>
      <c r="C286" s="43"/>
      <c r="D286" s="43"/>
      <c r="E286" s="43"/>
      <c r="F286" s="43"/>
      <c r="G286" s="43"/>
      <c r="H286" s="44"/>
      <c r="I286" s="50"/>
      <c r="J286" s="51"/>
      <c r="K286" s="52"/>
      <c r="L286" s="53"/>
      <c r="M286" s="54"/>
    </row>
    <row r="287" spans="1:13" ht="12.75">
      <c r="A287" s="43"/>
      <c r="B287" s="43"/>
      <c r="C287" s="43"/>
      <c r="D287" s="43"/>
      <c r="E287" s="43"/>
      <c r="F287" s="43"/>
      <c r="G287" s="43"/>
      <c r="H287" s="44"/>
      <c r="I287" s="50"/>
      <c r="J287" s="51"/>
      <c r="K287" s="52"/>
      <c r="L287" s="53"/>
      <c r="M287" s="54"/>
    </row>
    <row r="288" spans="1:13" ht="12.75">
      <c r="A288" s="43"/>
      <c r="B288" s="43"/>
      <c r="C288" s="43"/>
      <c r="D288" s="43"/>
      <c r="E288" s="43"/>
      <c r="F288" s="43"/>
      <c r="G288" s="43"/>
      <c r="H288" s="44"/>
      <c r="I288" s="50"/>
      <c r="J288" s="51"/>
      <c r="K288" s="52"/>
      <c r="L288" s="53"/>
      <c r="M288" s="54"/>
    </row>
    <row r="289" spans="1:13" ht="12.75">
      <c r="A289" s="43"/>
      <c r="B289" s="43"/>
      <c r="C289" s="43"/>
      <c r="D289" s="43"/>
      <c r="E289" s="43"/>
      <c r="F289" s="43"/>
      <c r="G289" s="43"/>
      <c r="H289" s="44"/>
      <c r="I289" s="50"/>
      <c r="J289" s="51"/>
      <c r="K289" s="52"/>
      <c r="L289" s="53"/>
      <c r="M289" s="54"/>
    </row>
    <row r="290" spans="1:13" ht="12.75">
      <c r="A290" s="43"/>
      <c r="B290" s="43"/>
      <c r="C290" s="43"/>
      <c r="D290" s="43"/>
      <c r="E290" s="43"/>
      <c r="F290" s="43"/>
      <c r="G290" s="43"/>
      <c r="H290" s="44"/>
      <c r="I290" s="50"/>
      <c r="J290" s="51"/>
      <c r="K290" s="52"/>
      <c r="L290" s="53"/>
      <c r="M290" s="54"/>
    </row>
  </sheetData>
  <autoFilter ref="A7:M10" xr:uid="{00000000-0009-0000-0000-000001000000}"/>
  <mergeCells count="5">
    <mergeCell ref="A4:H4"/>
    <mergeCell ref="A3:H3"/>
    <mergeCell ref="A2:I2"/>
    <mergeCell ref="A1:I1"/>
    <mergeCell ref="A5:H5"/>
  </mergeCells>
  <phoneticPr fontId="30" type="noConversion"/>
  <dataValidations disablePrompts="1" count="3">
    <dataValidation type="list" showInputMessage="1" showErrorMessage="1" sqref="E9:E76" xr:uid="{00000000-0002-0000-0100-000000000000}">
      <formula1>"物料,劳务,固定支出"</formula1>
    </dataValidation>
    <dataValidation type="list" showInputMessage="1" showErrorMessage="1" sqref="F9:F76" xr:uid="{00000000-0002-0000-0100-000001000000}">
      <formula1>"自购,外包,不涉及"</formula1>
    </dataValidation>
    <dataValidation type="list" showInputMessage="1" showErrorMessage="1" sqref="G9:G76" xr:uid="{00000000-0002-0000-0100-000002000000}">
      <formula1>"自施工,外包,不涉及"</formula1>
    </dataValidation>
  </dataValidations>
  <printOptions horizontalCentered="1"/>
  <pageMargins left="0.23611111111111099" right="0.23611111111111099" top="0.39305555555555599" bottom="0.43263888888888902" header="0.20069444444444401" footer="0.20069444444444401"/>
  <pageSetup paperSize="9" scale="80" fitToWidth="3" fitToHeight="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4</vt:i4>
      </vt:variant>
    </vt:vector>
  </HeadingPairs>
  <TitlesOfParts>
    <vt:vector size="6" baseType="lpstr">
      <vt:lpstr>报价汇总</vt:lpstr>
      <vt:lpstr>工程直接费</vt:lpstr>
      <vt:lpstr>报价汇总!Print_Area</vt:lpstr>
      <vt:lpstr>工程直接费!Print_Area</vt:lpstr>
      <vt:lpstr>报价汇总!Print_Titles</vt:lpstr>
      <vt:lpstr>工程直接费!Print_Titles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云晓 裴</cp:lastModifiedBy>
  <cp:lastPrinted>2026-07-03T08:52:08Z</cp:lastPrinted>
  <dcterms:created xsi:type="dcterms:W3CDTF">1996-12-17T01:32:00Z</dcterms:created>
  <dcterms:modified xsi:type="dcterms:W3CDTF">2026-07-03T08:52:22Z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KSOReadingLayout">
    <vt:bool>true</vt:bool>
  </property>
  <property fmtid="{D5CDD505-2E9C-101B-9397-08002B2CF9AE}" pid="4" name="ICV">
    <vt:lpwstr>8EF6B4AC3E3143778E8D8BC6EF26E238</vt:lpwstr>
  </property>
  <property fmtid="{D5CDD505-2E9C-101B-9397-08002B2CF9AE}" pid="5" name="CalculationRule">
    <vt:i4>0</vt:i4>
  </property>
</Properties>
</file>